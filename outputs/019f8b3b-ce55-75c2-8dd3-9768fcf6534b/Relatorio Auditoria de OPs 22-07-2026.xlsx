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cd36a727ac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ad64d36ea1af4ab7"/>
    <x:sheet xmlns:r="http://schemas.openxmlformats.org/officeDocument/2006/relationships" name="Auditoria por OP" sheetId="2" r:id="R802815cfde474d75"/>
    <x:sheet xmlns:r="http://schemas.openxmlformats.org/officeDocument/2006/relationships" name="Divergências" sheetId="3" r:id="R74a48a85ac2c4868"/>
    <x:sheet xmlns:r="http://schemas.openxmlformats.org/officeDocument/2006/relationships" name="Serviços" sheetId="4" r:id="R1366089071d94130"/>
    <x:sheet xmlns:r="http://schemas.openxmlformats.org/officeDocument/2006/relationships" name="Pagantes" sheetId="5" r:id="R6d56c922d2124b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;[Red]-R$ #,##0.00"/>
  </x:numFmts>
  <x:fonts count="7">
    <x:font>
      <x:sz val="11"/>
      <x:name val="Carlito"/>
    </x:font>
    <x:font>
      <x:b/>
      <x:sz val="11"/>
      <x:color rgb="FF17365D"/>
      <x:name val="Carlito"/>
    </x:font>
    <x:font>
      <x:b/>
      <x:sz val="16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65D"/>
      <x:name val="Aptos"/>
    </x:font>
    <x:font>
      <x:b/>
      <x:sz val="16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4">
    <x:border/>
    <x:border>
      <x:left style="thin">
        <x:color rgb="FFAFC6D9"/>
      </x:left>
      <x:top style="thin">
        <x:color rgb="FFAFC6D9"/>
      </x:top>
      <x:bottom style="thin">
        <x:color rgb="FFAFC6D9"/>
      </x:bottom>
    </x:border>
    <x:border>
      <x:top style="thin">
        <x:color rgb="FFAFC6D9"/>
      </x:top>
      <x:bottom style="thin">
        <x:color rgb="FFAFC6D9"/>
      </x:bottom>
    </x:border>
    <x:border>
      <x:right style="thin">
        <x:color rgb="FFAFC6D9"/>
      </x:right>
      <x:top style="thin">
        <x:color rgb="FFAFC6D9"/>
      </x:top>
      <x:bottom style="thin">
        <x:color rgb="FFAFC6D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2" borderId="1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83d7f70c84f66" /><Relationship Type="http://schemas.openxmlformats.org/officeDocument/2006/relationships/theme" Target="/xl/theme/theme1.xml" Id="Rf6bd88a001ea4a15" /><Relationship Type="http://schemas.openxmlformats.org/officeDocument/2006/relationships/sharedStrings" Target="/xl/sharedStrings.xml" Id="Rd55f33a0ac8d4469" /><Relationship Type="http://schemas.openxmlformats.org/officeDocument/2006/relationships/worksheet" Target="/xl/worksheets/sheet1.xml" Id="Rad64d36ea1af4ab7" /><Relationship Type="http://schemas.openxmlformats.org/officeDocument/2006/relationships/worksheet" Target="/xl/worksheets/sheet2.xml" Id="R802815cfde474d75" /><Relationship Type="http://schemas.openxmlformats.org/officeDocument/2006/relationships/worksheet" Target="/xl/worksheets/sheet3.xml" Id="R74a48a85ac2c4868" /><Relationship Type="http://schemas.openxmlformats.org/officeDocument/2006/relationships/worksheet" Target="/xl/worksheets/sheet4.xml" Id="R1366089071d94130" /><Relationship Type="http://schemas.openxmlformats.org/officeDocument/2006/relationships/worksheet" Target="/xl/worksheets/sheet5.xml" Id="R6d56c922d2124b6e" /></Relationships>
</file>

<file path=xl/tables/table1.xml><?xml version="1.0" encoding="utf-8"?>
<x:table xmlns:x="http://schemas.openxmlformats.org/spreadsheetml/2006/main" id="3" name="AuditoriaOPTable" displayName="AuditoriaOPTable" ref="A1:J330" headerRowCount="1" totalsRowCount="0" totalsRowShown="0">
  <x:tableColumns count="10">
    <x:tableColumn id="1" name="OP"/>
    <x:tableColumn id="2" name="Qtd. serviços"/>
    <x:tableColumn id="3" name="Total serviços"/>
    <x:tableColumn id="4" name="Qtd. pagantes"/>
    <x:tableColumn id="5" name="Total pagantes (todos)"/>
    <x:tableColumn id="6" name="Pagantes ativos"/>
    <x:tableColumn id="7" name="Cancelados"/>
    <x:tableColumn id="8" name="Diferença ativa"/>
    <x:tableColumn id="9" name="Diferença todos"/>
    <x:tableColumn id="10" name="Resul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DivergenciasTable" displayName="DivergenciasTable" ref="A1:J17" headerRowCount="1" totalsRowCount="0" totalsRowShown="0">
  <x:tableColumns count="10">
    <x:tableColumn id="1" name="OP"/>
    <x:tableColumn id="2" name="Qtd. serviços"/>
    <x:tableColumn id="3" name="Total serviços"/>
    <x:tableColumn id="4" name="Qtd. pagantes"/>
    <x:tableColumn id="5" name="Total pagantes (todos)"/>
    <x:tableColumn id="6" name="Pagantes ativos"/>
    <x:tableColumn id="7" name="Cancelados"/>
    <x:tableColumn id="8" name="Diferença ativa"/>
    <x:tableColumn id="9" name="Diferença todos"/>
    <x:tableColumn id="10" name="Resultado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1" name="ServicosTable" displayName="ServicosTable" ref="A1:I1264" headerRowCount="1" totalsRowCount="0" totalsRowShown="0">
  <x:tableColumns count="9">
    <x:tableColumn id="1" name="Linha origem"/>
    <x:tableColumn id="2" name="OP"/>
    <x:tableColumn id="3" name="ID serviço"/>
    <x:tableColumn id="4" name="Saída"/>
    <x:tableColumn id="5" name="Cliente"/>
    <x:tableColumn id="6" name="Passageiro"/>
    <x:tableColumn id="7" name="Status operação"/>
    <x:tableColumn id="8" name="Status faturamento"/>
    <x:tableColumn id="9" name="Valor serviç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PagantesTable" displayName="PagantesTable" ref="A1:H268" headerRowCount="1" totalsRowCount="0" totalsRowShown="0">
  <x:tableColumns count="8">
    <x:tableColumn id="1" name="Linha origem"/>
    <x:tableColumn id="2" name="OP"/>
    <x:tableColumn id="3" name="ID pagante"/>
    <x:tableColumn id="4" name="Valor"/>
    <x:tableColumn id="5" name="Status pagamento"/>
    <x:tableColumn id="6" name="Pagante"/>
    <x:tableColumn id="7" name="Forma pagamento"/>
    <x:tableColumn id="8" name="Data cri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a7fbc429ea4d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66735b322b44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e6b726ef4d46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3dfdd5b40540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2" t="str">
        <x:v>Auditoria de valores por Ordem de Pagamento</x:v>
      </x:c>
      <x:c r="B1" s="22"/>
      <x:c r="C1" s="22"/>
      <x:c r="D1" s="22"/>
      <x:c r="E1" s="22"/>
      <x:c r="F1" s="22"/>
      <x:c r="G1" s="22"/>
      <x:c r="H1" s="22"/>
    </x:row>
    <x:row r="2">
      <x:c r="A2" s="22"/>
      <x:c r="B2" s="22"/>
      <x:c r="C2" s="22"/>
      <x:c r="D2" s="22"/>
      <x:c r="E2" s="22"/>
      <x:c r="F2" s="22"/>
      <x:c r="G2" s="22"/>
      <x:c r="H2" s="22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</x:row>
    <x:row r="4" ht="15" hidden="0" customHeight="1">
      <x:c r="A4" s="18" t="str">
        <x:v>Indicador</x:v>
      </x:c>
      <x:c r="B4" s="19" t="str">
        <x:v>Resultado</x:v>
      </x:c>
      <x:c r="C4" s="17"/>
      <x:c r="D4" s="18" t="str">
        <x:v>Critério</x:v>
      </x:c>
      <x:c r="E4" s="20" t="str">
        <x:v>Definição</x:v>
      </x:c>
      <x:c r="F4" s="20"/>
      <x:c r="G4" s="20"/>
      <x:c r="H4" s="19"/>
    </x:row>
    <x:row r="5" ht="15" hidden="0" customHeight="1">
      <x:c r="A5" s="17" t="str">
        <x:v>OPs nos dois arquivos</x:v>
      </x:c>
      <x:c r="B5" s="17" t="n">
        <x:v>238</x:v>
      </x:c>
      <x:c r="C5" s="17"/>
      <x:c r="D5" s="17" t="str">
        <x:v>Total serviços</x:v>
      </x:c>
      <x:c r="E5" s="17" t="str">
        <x:v>Soma de todas as linhas da mesma OP na planilha Geral.</x:v>
      </x:c>
      <x:c r="F5" s="17"/>
      <x:c r="G5" s="17"/>
      <x:c r="H5" s="17"/>
    </x:row>
    <x:row r="6" ht="15" hidden="0" customHeight="1">
      <x:c r="A6" s="17" t="str">
        <x:v>OPs que batem (ativos)</x:v>
      </x:c>
      <x:c r="B6" s="17" t="n">
        <x:v>222</x:v>
      </x:c>
      <x:c r="C6" s="17"/>
      <x:c r="D6" s="17" t="str">
        <x:v>Pagantes ativos</x:v>
      </x:c>
      <x:c r="E6" s="17" t="str">
        <x:v>Soma de todas as linhas da OP, excluindo Status do Pagamento = Cancelado.</x:v>
      </x:c>
      <x:c r="F6" s="17"/>
      <x:c r="G6" s="17"/>
      <x:c r="H6" s="17"/>
    </x:row>
    <x:row r="7" ht="15" hidden="0" customHeight="1">
      <x:c r="A7" s="17" t="str">
        <x:v>OPs com pagantes a menos</x:v>
      </x:c>
      <x:c r="B7" s="17" t="n">
        <x:v>12</x:v>
      </x:c>
      <x:c r="C7" s="17"/>
      <x:c r="D7" s="17" t="str">
        <x:v>Diferença ativa</x:v>
      </x:c>
      <x:c r="E7" s="17" t="str">
        <x:v>Pagantes ativos menos Total serviços. Zero significa igualdade exata em centavos.</x:v>
      </x:c>
      <x:c r="F7" s="17"/>
      <x:c r="G7" s="17"/>
      <x:c r="H7" s="17"/>
    </x:row>
    <x:row r="8" ht="15" hidden="0" customHeight="1">
      <x:c r="A8" s="17" t="str">
        <x:v>OPs com pagantes a mais</x:v>
      </x:c>
      <x:c r="B8" s="17" t="n">
        <x:v>4</x:v>
      </x:c>
      <x:c r="C8" s="17"/>
      <x:c r="D8" s="17" t="str">
        <x:v>Diferença todos</x:v>
      </x:c>
      <x:c r="E8" s="17" t="str">
        <x:v>Inclui registros cancelados; útil para identificar cancelamento sem reposição.</x:v>
      </x:c>
      <x:c r="F8" s="17"/>
      <x:c r="G8" s="17"/>
      <x:c r="H8" s="17"/>
    </x:row>
    <x:row r="9" ht="15" hidden="0" customHeight="1">
      <x:c r="A9" s="17" t="str">
        <x:v>OPs só na Geral</x:v>
      </x:c>
      <x:c r="B9" s="17" t="n">
        <x:v>91</x:v>
      </x:c>
      <x:c r="C9" s="17"/>
      <x:c r="D9" s="17" t="str">
        <x:v>Escopo</x:v>
      </x:c>
      <x:c r="E9" s="17" t="str">
        <x:v>OP sem pagante no export não é tratada como erro de valor; aparece separadamente.</x:v>
      </x:c>
      <x:c r="F9" s="17"/>
      <x:c r="G9" s="17"/>
      <x:c r="H9" s="17"/>
    </x:row>
    <x:row r="10" ht="15" hidden="0" customHeight="1">
      <x:c r="A10" s="17"/>
      <x:c r="B10" s="17"/>
      <x:c r="C10" s="17"/>
      <x:c r="D10" s="17"/>
      <x:c r="E10" s="17"/>
      <x:c r="F10" s="17"/>
      <x:c r="G10" s="17"/>
      <x:c r="H10" s="17"/>
    </x:row>
    <x:row r="11" ht="15" hidden="0" customHeight="1">
      <x:c r="A11" s="18" t="str">
        <x:v>Fontes</x:v>
      </x:c>
      <x:c r="B11" s="20"/>
      <x:c r="C11" s="20"/>
      <x:c r="D11" s="20"/>
      <x:c r="E11" s="20"/>
      <x:c r="F11" s="20"/>
      <x:c r="G11" s="20"/>
      <x:c r="H11" s="19"/>
    </x:row>
    <x:row r="12" ht="15" hidden="0" customHeight="1">
      <x:c r="A12" s="17" t="str">
        <x:v>Geral</x:v>
      </x:c>
      <x:c r="B12" s="17" t="str">
        <x:v>C:\Users\mendo\Downloads\🗓️ Agenda (Todos serviços) 22-07-2026 16-12-22.xlsx</x:v>
      </x:c>
      <x:c r="C12" s="17"/>
      <x:c r="D12" s="17"/>
      <x:c r="E12" s="17"/>
      <x:c r="F12" s="17"/>
      <x:c r="G12" s="17"/>
      <x:c r="H12" s="17"/>
    </x:row>
    <x:row r="13" ht="15" hidden="0" customHeight="1">
      <x:c r="A13" s="17" t="str">
        <x:v>Pagantes</x:v>
      </x:c>
      <x:c r="B13" s="17" t="str">
        <x:v>C:\Users\mendo\Downloads\Visualização Padrão 22-07-2026 16-12-53.xlsx</x:v>
      </x:c>
      <x:c r="C13" s="17"/>
      <x:c r="D13" s="17"/>
      <x:c r="E13" s="17"/>
      <x:c r="F13" s="17"/>
      <x:c r="G13" s="17"/>
      <x:c r="H13" s="17"/>
    </x:row>
  </x:sheetData>
  <x:mergeCells>
    <x:mergeCell ref="A1:H2"/>
    <x:mergeCell ref="E5:H5"/>
    <x:mergeCell ref="E6:H6"/>
    <x:mergeCell ref="E7:H7"/>
    <x:mergeCell ref="E8:H8"/>
    <x:mergeCell ref="E9:H9"/>
    <x:mergeCell ref="B12:H12"/>
    <x:mergeCell ref="B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15" hidden="0" customHeight="1">
      <x:c r="A1" s="18" t="str">
        <x:v>OP</x:v>
      </x:c>
      <x:c r="B1" s="20" t="str">
        <x:v>Qtd. serviços</x:v>
      </x:c>
      <x:c r="C1" s="20" t="str">
        <x:v>Total serviços</x:v>
      </x:c>
      <x:c r="D1" s="20" t="str">
        <x:v>Qtd. pagantes</x:v>
      </x:c>
      <x:c r="E1" s="20" t="str">
        <x:v>Total pagantes (todos)</x:v>
      </x:c>
      <x:c r="F1" s="20" t="str">
        <x:v>Pagantes ativos</x:v>
      </x:c>
      <x:c r="G1" s="20" t="str">
        <x:v>Cancelados</x:v>
      </x:c>
      <x:c r="H1" s="20" t="str">
        <x:v>Diferença ativa</x:v>
      </x:c>
      <x:c r="I1" s="20" t="str">
        <x:v>Diferença todos</x:v>
      </x:c>
      <x:c r="J1" s="19" t="str">
        <x:v>Resultado</x:v>
      </x:c>
    </x:row>
    <x:row r="2" ht="15" hidden="0" customHeight="1">
      <x:c r="A2" s="17" t="str">
        <x:v>OP-1007</x:v>
      </x:c>
      <x:c r="B2" s="17" t="n">
        <x:f>COUNTIF('Serviços'!$B$2:$B$1264,A2)</x:f>
        <x:v>1</x:v>
      </x:c>
      <x:c r="C2" s="21" t="n">
        <x:f>SUMIF('Serviços'!$B$2:$B$1264,A2,'Serviços'!$I$2:$I$1264)</x:f>
        <x:v>1060.44</x:v>
      </x:c>
      <x:c r="D2" s="21" t="n">
        <x:f>COUNTIF('Pagantes'!$B$2:$B$268,A2)</x:f>
        <x:v>0</x:v>
      </x:c>
      <x:c r="E2" s="21" t="n">
        <x:f>SUMIF('Pagantes'!$B$2:$B$268,A2,'Pagantes'!$D$2:$D$268)</x:f>
        <x:v>0</x:v>
      </x:c>
      <x:c r="F2" s="21" t="n">
        <x:f>SUMIFS('Pagantes'!$D$2:$D$268,'Pagantes'!$B$2:$B$268,A2,'Pagantes'!$E$2:$E$268,"&lt;&gt;Cancelado")</x:f>
        <x:v>0</x:v>
      </x:c>
      <x:c r="G2" s="21" t="n">
        <x:f>E2-F2</x:f>
        <x:v>0</x:v>
      </x:c>
      <x:c r="H2" s="21" t="n">
        <x:f>ROUND(F2-C2,2)</x:f>
        <x:v>-1060.44</x:v>
      </x:c>
      <x:c r="I2" s="21" t="n">
        <x:f>ROUND(E2-C2,2)</x:f>
        <x:v>-1060.44</x:v>
      </x:c>
      <x:c r="J2" s="17" t="str">
        <x:f>IF(B2=0,"SEM SERVIÇO NA GERAL",IF(D2=0,"SEM PAGANTE NO ARQUIVO",IF(H2=0,"BATE",IF(H2&lt;0,"PAGANTES A MENOS","PAGANTES A MAIS"))))</x:f>
        <x:v>SEM PAGANTE NO ARQUIVO</x:v>
      </x:c>
    </x:row>
    <x:row r="3" ht="15" hidden="0" customHeight="1">
      <x:c r="A3" s="17" t="str">
        <x:v>OP-1008</x:v>
      </x:c>
      <x:c r="B3" s="17" t="n">
        <x:f>COUNTIF('Serviços'!$B$2:$B$1264,A3)</x:f>
        <x:v>1</x:v>
      </x:c>
      <x:c r="C3" s="21" t="n">
        <x:f>SUMIF('Serviços'!$B$2:$B$1264,A3,'Serviços'!$I$2:$I$1264)</x:f>
        <x:v>790</x:v>
      </x:c>
      <x:c r="D3" s="21" t="n">
        <x:f>COUNTIF('Pagantes'!$B$2:$B$268,A3)</x:f>
        <x:v>0</x:v>
      </x:c>
      <x:c r="E3" s="21" t="n">
        <x:f>SUMIF('Pagantes'!$B$2:$B$268,A3,'Pagantes'!$D$2:$D$268)</x:f>
        <x:v>0</x:v>
      </x:c>
      <x:c r="F3" s="21" t="n">
        <x:f>SUMIFS('Pagantes'!$D$2:$D$268,'Pagantes'!$B$2:$B$268,A3,'Pagantes'!$E$2:$E$268,"&lt;&gt;Cancelado")</x:f>
        <x:v>0</x:v>
      </x:c>
      <x:c r="G3" s="21" t="n">
        <x:f>E3-F3</x:f>
        <x:v>0</x:v>
      </x:c>
      <x:c r="H3" s="21" t="n">
        <x:f>ROUND(F3-C3,2)</x:f>
        <x:v>-790</x:v>
      </x:c>
      <x:c r="I3" s="21" t="n">
        <x:f>ROUND(E3-C3,2)</x:f>
        <x:v>-790</x:v>
      </x:c>
      <x:c r="J3" s="17" t="str">
        <x:f>IF(B3=0,"SEM SERVIÇO NA GERAL",IF(D3=0,"SEM PAGANTE NO ARQUIVO",IF(H3=0,"BATE",IF(H3&lt;0,"PAGANTES A MENOS","PAGANTES A MAIS"))))</x:f>
        <x:v>SEM PAGANTE NO ARQUIVO</x:v>
      </x:c>
    </x:row>
    <x:row r="4" ht="15" hidden="0" customHeight="1">
      <x:c r="A4" s="17" t="str">
        <x:v>OP-1009</x:v>
      </x:c>
      <x:c r="B4" s="17" t="n">
        <x:f>COUNTIF('Serviços'!$B$2:$B$1264,A4)</x:f>
        <x:v>1</x:v>
      </x:c>
      <x:c r="C4" s="21" t="n">
        <x:f>SUMIF('Serviços'!$B$2:$B$1264,A4,'Serviços'!$I$2:$I$1264)</x:f>
        <x:v>496.35</x:v>
      </x:c>
      <x:c r="D4" s="21" t="n">
        <x:f>COUNTIF('Pagantes'!$B$2:$B$268,A4)</x:f>
        <x:v>0</x:v>
      </x:c>
      <x:c r="E4" s="21" t="n">
        <x:f>SUMIF('Pagantes'!$B$2:$B$268,A4,'Pagantes'!$D$2:$D$268)</x:f>
        <x:v>0</x:v>
      </x:c>
      <x:c r="F4" s="21" t="n">
        <x:f>SUMIFS('Pagantes'!$D$2:$D$268,'Pagantes'!$B$2:$B$268,A4,'Pagantes'!$E$2:$E$268,"&lt;&gt;Cancelado")</x:f>
        <x:v>0</x:v>
      </x:c>
      <x:c r="G4" s="21" t="n">
        <x:f>E4-F4</x:f>
        <x:v>0</x:v>
      </x:c>
      <x:c r="H4" s="21" t="n">
        <x:f>ROUND(F4-C4,2)</x:f>
        <x:v>-496.35</x:v>
      </x:c>
      <x:c r="I4" s="21" t="n">
        <x:f>ROUND(E4-C4,2)</x:f>
        <x:v>-496.35</x:v>
      </x:c>
      <x:c r="J4" s="17" t="str">
        <x:f>IF(B4=0,"SEM SERVIÇO NA GERAL",IF(D4=0,"SEM PAGANTE NO ARQUIVO",IF(H4=0,"BATE",IF(H4&lt;0,"PAGANTES A MENOS","PAGANTES A MAIS"))))</x:f>
        <x:v>SEM PAGANTE NO ARQUIVO</x:v>
      </x:c>
    </x:row>
    <x:row r="5" ht="15" hidden="0" customHeight="1">
      <x:c r="A5" s="17" t="str">
        <x:v>OP-1010</x:v>
      </x:c>
      <x:c r="B5" s="17" t="n">
        <x:f>COUNTIF('Serviços'!$B$2:$B$1264,A5)</x:f>
        <x:v>1</x:v>
      </x:c>
      <x:c r="C5" s="21" t="n">
        <x:f>SUMIF('Serviços'!$B$2:$B$1264,A5,'Serviços'!$I$2:$I$1264)</x:f>
        <x:v>682.93</x:v>
      </x:c>
      <x:c r="D5" s="21" t="n">
        <x:f>COUNTIF('Pagantes'!$B$2:$B$268,A5)</x:f>
        <x:v>0</x:v>
      </x:c>
      <x:c r="E5" s="21" t="n">
        <x:f>SUMIF('Pagantes'!$B$2:$B$268,A5,'Pagantes'!$D$2:$D$268)</x:f>
        <x:v>0</x:v>
      </x:c>
      <x:c r="F5" s="21" t="n">
        <x:f>SUMIFS('Pagantes'!$D$2:$D$268,'Pagantes'!$B$2:$B$268,A5,'Pagantes'!$E$2:$E$268,"&lt;&gt;Cancelado")</x:f>
        <x:v>0</x:v>
      </x:c>
      <x:c r="G5" s="21" t="n">
        <x:f>E5-F5</x:f>
        <x:v>0</x:v>
      </x:c>
      <x:c r="H5" s="21" t="n">
        <x:f>ROUND(F5-C5,2)</x:f>
        <x:v>-682.93</x:v>
      </x:c>
      <x:c r="I5" s="21" t="n">
        <x:f>ROUND(E5-C5,2)</x:f>
        <x:v>-682.93</x:v>
      </x:c>
      <x:c r="J5" s="17" t="str">
        <x:f>IF(B5=0,"SEM SERVIÇO NA GERAL",IF(D5=0,"SEM PAGANTE NO ARQUIVO",IF(H5=0,"BATE",IF(H5&lt;0,"PAGANTES A MENOS","PAGANTES A MAIS"))))</x:f>
        <x:v>SEM PAGANTE NO ARQUIVO</x:v>
      </x:c>
    </x:row>
    <x:row r="6" ht="15" hidden="0" customHeight="1">
      <x:c r="A6" s="17" t="str">
        <x:v>OP-1011</x:v>
      </x:c>
      <x:c r="B6" s="17" t="n">
        <x:f>COUNTIF('Serviços'!$B$2:$B$1264,A6)</x:f>
        <x:v>1</x:v>
      </x:c>
      <x:c r="C6" s="21" t="n">
        <x:f>SUMIF('Serviços'!$B$2:$B$1264,A6,'Serviços'!$I$2:$I$1264)</x:f>
        <x:v>509.98</x:v>
      </x:c>
      <x:c r="D6" s="21" t="n">
        <x:f>COUNTIF('Pagantes'!$B$2:$B$268,A6)</x:f>
        <x:v>0</x:v>
      </x:c>
      <x:c r="E6" s="21" t="n">
        <x:f>SUMIF('Pagantes'!$B$2:$B$268,A6,'Pagantes'!$D$2:$D$268)</x:f>
        <x:v>0</x:v>
      </x:c>
      <x:c r="F6" s="21" t="n">
        <x:f>SUMIFS('Pagantes'!$D$2:$D$268,'Pagantes'!$B$2:$B$268,A6,'Pagantes'!$E$2:$E$268,"&lt;&gt;Cancelado")</x:f>
        <x:v>0</x:v>
      </x:c>
      <x:c r="G6" s="21" t="n">
        <x:f>E6-F6</x:f>
        <x:v>0</x:v>
      </x:c>
      <x:c r="H6" s="21" t="n">
        <x:f>ROUND(F6-C6,2)</x:f>
        <x:v>-509.98</x:v>
      </x:c>
      <x:c r="I6" s="21" t="n">
        <x:f>ROUND(E6-C6,2)</x:f>
        <x:v>-509.98</x:v>
      </x:c>
      <x:c r="J6" s="17" t="str">
        <x:f>IF(B6=0,"SEM SERVIÇO NA GERAL",IF(D6=0,"SEM PAGANTE NO ARQUIVO",IF(H6=0,"BATE",IF(H6&lt;0,"PAGANTES A MENOS","PAGANTES A MAIS"))))</x:f>
        <x:v>SEM PAGANTE NO ARQUIVO</x:v>
      </x:c>
    </x:row>
    <x:row r="7" ht="15" hidden="0" customHeight="1">
      <x:c r="A7" s="17" t="str">
        <x:v>OP-1012</x:v>
      </x:c>
      <x:c r="B7" s="17" t="n">
        <x:f>COUNTIF('Serviços'!$B$2:$B$1264,A7)</x:f>
        <x:v>1</x:v>
      </x:c>
      <x:c r="C7" s="21" t="n">
        <x:f>SUMIF('Serviços'!$B$2:$B$1264,A7,'Serviços'!$I$2:$I$1264)</x:f>
        <x:v>558.86</x:v>
      </x:c>
      <x:c r="D7" s="21" t="n">
        <x:f>COUNTIF('Pagantes'!$B$2:$B$268,A7)</x:f>
        <x:v>0</x:v>
      </x:c>
      <x:c r="E7" s="21" t="n">
        <x:f>SUMIF('Pagantes'!$B$2:$B$268,A7,'Pagantes'!$D$2:$D$268)</x:f>
        <x:v>0</x:v>
      </x:c>
      <x:c r="F7" s="21" t="n">
        <x:f>SUMIFS('Pagantes'!$D$2:$D$268,'Pagantes'!$B$2:$B$268,A7,'Pagantes'!$E$2:$E$268,"&lt;&gt;Cancelado")</x:f>
        <x:v>0</x:v>
      </x:c>
      <x:c r="G7" s="21" t="n">
        <x:f>E7-F7</x:f>
        <x:v>0</x:v>
      </x:c>
      <x:c r="H7" s="21" t="n">
        <x:f>ROUND(F7-C7,2)</x:f>
        <x:v>-558.86</x:v>
      </x:c>
      <x:c r="I7" s="21" t="n">
        <x:f>ROUND(E7-C7,2)</x:f>
        <x:v>-558.86</x:v>
      </x:c>
      <x:c r="J7" s="17" t="str">
        <x:f>IF(B7=0,"SEM SERVIÇO NA GERAL",IF(D7=0,"SEM PAGANTE NO ARQUIVO",IF(H7=0,"BATE",IF(H7&lt;0,"PAGANTES A MENOS","PAGANTES A MAIS"))))</x:f>
        <x:v>SEM PAGANTE NO ARQUIVO</x:v>
      </x:c>
    </x:row>
    <x:row r="8" ht="15" hidden="0" customHeight="1">
      <x:c r="A8" s="17" t="str">
        <x:v>OP-1013</x:v>
      </x:c>
      <x:c r="B8" s="17" t="n">
        <x:f>COUNTIF('Serviços'!$B$2:$B$1264,A8)</x:f>
        <x:v>1</x:v>
      </x:c>
      <x:c r="C8" s="21" t="n">
        <x:f>SUMIF('Serviços'!$B$2:$B$1264,A8,'Serviços'!$I$2:$I$1264)</x:f>
        <x:v>1172.94</x:v>
      </x:c>
      <x:c r="D8" s="21" t="n">
        <x:f>COUNTIF('Pagantes'!$B$2:$B$268,A8)</x:f>
        <x:v>0</x:v>
      </x:c>
      <x:c r="E8" s="21" t="n">
        <x:f>SUMIF('Pagantes'!$B$2:$B$268,A8,'Pagantes'!$D$2:$D$268)</x:f>
        <x:v>0</x:v>
      </x:c>
      <x:c r="F8" s="21" t="n">
        <x:f>SUMIFS('Pagantes'!$D$2:$D$268,'Pagantes'!$B$2:$B$268,A8,'Pagantes'!$E$2:$E$268,"&lt;&gt;Cancelado")</x:f>
        <x:v>0</x:v>
      </x:c>
      <x:c r="G8" s="21" t="n">
        <x:f>E8-F8</x:f>
        <x:v>0</x:v>
      </x:c>
      <x:c r="H8" s="21" t="n">
        <x:f>ROUND(F8-C8,2)</x:f>
        <x:v>-1172.94</x:v>
      </x:c>
      <x:c r="I8" s="21" t="n">
        <x:f>ROUND(E8-C8,2)</x:f>
        <x:v>-1172.94</x:v>
      </x:c>
      <x:c r="J8" s="17" t="str">
        <x:f>IF(B8=0,"SEM SERVIÇO NA GERAL",IF(D8=0,"SEM PAGANTE NO ARQUIVO",IF(H8=0,"BATE",IF(H8&lt;0,"PAGANTES A MENOS","PAGANTES A MAIS"))))</x:f>
        <x:v>SEM PAGANTE NO ARQUIVO</x:v>
      </x:c>
    </x:row>
    <x:row r="9" ht="15" hidden="0" customHeight="1">
      <x:c r="A9" s="17" t="str">
        <x:v>OP-1014</x:v>
      </x:c>
      <x:c r="B9" s="17" t="n">
        <x:f>COUNTIF('Serviços'!$B$2:$B$1264,A9)</x:f>
        <x:v>1</x:v>
      </x:c>
      <x:c r="C9" s="21" t="n">
        <x:f>SUMIF('Serviços'!$B$2:$B$1264,A9,'Serviços'!$I$2:$I$1264)</x:f>
        <x:v>509.42</x:v>
      </x:c>
      <x:c r="D9" s="21" t="n">
        <x:f>COUNTIF('Pagantes'!$B$2:$B$268,A9)</x:f>
        <x:v>0</x:v>
      </x:c>
      <x:c r="E9" s="21" t="n">
        <x:f>SUMIF('Pagantes'!$B$2:$B$268,A9,'Pagantes'!$D$2:$D$268)</x:f>
        <x:v>0</x:v>
      </x:c>
      <x:c r="F9" s="21" t="n">
        <x:f>SUMIFS('Pagantes'!$D$2:$D$268,'Pagantes'!$B$2:$B$268,A9,'Pagantes'!$E$2:$E$268,"&lt;&gt;Cancelado")</x:f>
        <x:v>0</x:v>
      </x:c>
      <x:c r="G9" s="21" t="n">
        <x:f>E9-F9</x:f>
        <x:v>0</x:v>
      </x:c>
      <x:c r="H9" s="21" t="n">
        <x:f>ROUND(F9-C9,2)</x:f>
        <x:v>-509.42</x:v>
      </x:c>
      <x:c r="I9" s="21" t="n">
        <x:f>ROUND(E9-C9,2)</x:f>
        <x:v>-509.42</x:v>
      </x:c>
      <x:c r="J9" s="17" t="str">
        <x:f>IF(B9=0,"SEM SERVIÇO NA GERAL",IF(D9=0,"SEM PAGANTE NO ARQUIVO",IF(H9=0,"BATE",IF(H9&lt;0,"PAGANTES A MENOS","PAGANTES A MAIS"))))</x:f>
        <x:v>SEM PAGANTE NO ARQUIVO</x:v>
      </x:c>
    </x:row>
    <x:row r="10" ht="15" hidden="0" customHeight="1">
      <x:c r="A10" s="17" t="str">
        <x:v>OP-1015</x:v>
      </x:c>
      <x:c r="B10" s="17" t="n">
        <x:f>COUNTIF('Serviços'!$B$2:$B$1264,A10)</x:f>
        <x:v>1</x:v>
      </x:c>
      <x:c r="C10" s="21" t="n">
        <x:f>SUMIF('Serviços'!$B$2:$B$1264,A10,'Serviços'!$I$2:$I$1264)</x:f>
        <x:v>463.05</x:v>
      </x:c>
      <x:c r="D10" s="21" t="n">
        <x:f>COUNTIF('Pagantes'!$B$2:$B$268,A10)</x:f>
        <x:v>0</x:v>
      </x:c>
      <x:c r="E10" s="21" t="n">
        <x:f>SUMIF('Pagantes'!$B$2:$B$268,A10,'Pagantes'!$D$2:$D$268)</x:f>
        <x:v>0</x:v>
      </x:c>
      <x:c r="F10" s="21" t="n">
        <x:f>SUMIFS('Pagantes'!$D$2:$D$268,'Pagantes'!$B$2:$B$268,A10,'Pagantes'!$E$2:$E$268,"&lt;&gt;Cancelado")</x:f>
        <x:v>0</x:v>
      </x:c>
      <x:c r="G10" s="21" t="n">
        <x:f>E10-F10</x:f>
        <x:v>0</x:v>
      </x:c>
      <x:c r="H10" s="21" t="n">
        <x:f>ROUND(F10-C10,2)</x:f>
        <x:v>-463.05</x:v>
      </x:c>
      <x:c r="I10" s="21" t="n">
        <x:f>ROUND(E10-C10,2)</x:f>
        <x:v>-463.05</x:v>
      </x:c>
      <x:c r="J10" s="17" t="str">
        <x:f>IF(B10=0,"SEM SERVIÇO NA GERAL",IF(D10=0,"SEM PAGANTE NO ARQUIVO",IF(H10=0,"BATE",IF(H10&lt;0,"PAGANTES A MENOS","PAGANTES A MAIS"))))</x:f>
        <x:v>SEM PAGANTE NO ARQUIVO</x:v>
      </x:c>
    </x:row>
    <x:row r="11" ht="15" hidden="0" customHeight="1">
      <x:c r="A11" s="17" t="str">
        <x:v>OP-1016</x:v>
      </x:c>
      <x:c r="B11" s="17" t="n">
        <x:f>COUNTIF('Serviços'!$B$2:$B$1264,A11)</x:f>
        <x:v>1</x:v>
      </x:c>
      <x:c r="C11" s="21" t="n">
        <x:f>SUMIF('Serviços'!$B$2:$B$1264,A11,'Serviços'!$I$2:$I$1264)</x:f>
        <x:v>811.17</x:v>
      </x:c>
      <x:c r="D11" s="21" t="n">
        <x:f>COUNTIF('Pagantes'!$B$2:$B$268,A11)</x:f>
        <x:v>0</x:v>
      </x:c>
      <x:c r="E11" s="21" t="n">
        <x:f>SUMIF('Pagantes'!$B$2:$B$268,A11,'Pagantes'!$D$2:$D$268)</x:f>
        <x:v>0</x:v>
      </x:c>
      <x:c r="F11" s="21" t="n">
        <x:f>SUMIFS('Pagantes'!$D$2:$D$268,'Pagantes'!$B$2:$B$268,A11,'Pagantes'!$E$2:$E$268,"&lt;&gt;Cancelado")</x:f>
        <x:v>0</x:v>
      </x:c>
      <x:c r="G11" s="21" t="n">
        <x:f>E11-F11</x:f>
        <x:v>0</x:v>
      </x:c>
      <x:c r="H11" s="21" t="n">
        <x:f>ROUND(F11-C11,2)</x:f>
        <x:v>-811.17</x:v>
      </x:c>
      <x:c r="I11" s="21" t="n">
        <x:f>ROUND(E11-C11,2)</x:f>
        <x:v>-811.17</x:v>
      </x:c>
      <x:c r="J11" s="17" t="str">
        <x:f>IF(B11=0,"SEM SERVIÇO NA GERAL",IF(D11=0,"SEM PAGANTE NO ARQUIVO",IF(H11=0,"BATE",IF(H11&lt;0,"PAGANTES A MENOS","PAGANTES A MAIS"))))</x:f>
        <x:v>SEM PAGANTE NO ARQUIVO</x:v>
      </x:c>
    </x:row>
    <x:row r="12" ht="15" hidden="0" customHeight="1">
      <x:c r="A12" s="17" t="str">
        <x:v>OP-1017</x:v>
      </x:c>
      <x:c r="B12" s="17" t="n">
        <x:f>COUNTIF('Serviços'!$B$2:$B$1264,A12)</x:f>
        <x:v>1</x:v>
      </x:c>
      <x:c r="C12" s="21" t="n">
        <x:f>SUMIF('Serviços'!$B$2:$B$1264,A12,'Serviços'!$I$2:$I$1264)</x:f>
        <x:v>463.05</x:v>
      </x:c>
      <x:c r="D12" s="21" t="n">
        <x:f>COUNTIF('Pagantes'!$B$2:$B$268,A12)</x:f>
        <x:v>0</x:v>
      </x:c>
      <x:c r="E12" s="21" t="n">
        <x:f>SUMIF('Pagantes'!$B$2:$B$268,A12,'Pagantes'!$D$2:$D$268)</x:f>
        <x:v>0</x:v>
      </x:c>
      <x:c r="F12" s="21" t="n">
        <x:f>SUMIFS('Pagantes'!$D$2:$D$268,'Pagantes'!$B$2:$B$268,A12,'Pagantes'!$E$2:$E$268,"&lt;&gt;Cancelado")</x:f>
        <x:v>0</x:v>
      </x:c>
      <x:c r="G12" s="21" t="n">
        <x:f>E12-F12</x:f>
        <x:v>0</x:v>
      </x:c>
      <x:c r="H12" s="21" t="n">
        <x:f>ROUND(F12-C12,2)</x:f>
        <x:v>-463.05</x:v>
      </x:c>
      <x:c r="I12" s="21" t="n">
        <x:f>ROUND(E12-C12,2)</x:f>
        <x:v>-463.05</x:v>
      </x:c>
      <x:c r="J12" s="17" t="str">
        <x:f>IF(B12=0,"SEM SERVIÇO NA GERAL",IF(D12=0,"SEM PAGANTE NO ARQUIVO",IF(H12=0,"BATE",IF(H12&lt;0,"PAGANTES A MENOS","PAGANTES A MAIS"))))</x:f>
        <x:v>SEM PAGANTE NO ARQUIVO</x:v>
      </x:c>
    </x:row>
    <x:row r="13" ht="15" hidden="0" customHeight="1">
      <x:c r="A13" s="17" t="str">
        <x:v>OP-1018</x:v>
      </x:c>
      <x:c r="B13" s="17" t="n">
        <x:f>COUNTIF('Serviços'!$B$2:$B$1264,A13)</x:f>
        <x:v>1</x:v>
      </x:c>
      <x:c r="C13" s="21" t="n">
        <x:f>SUMIF('Serviços'!$B$2:$B$1264,A13,'Serviços'!$I$2:$I$1264)</x:f>
        <x:v>1005.01</x:v>
      </x:c>
      <x:c r="D13" s="21" t="n">
        <x:f>COUNTIF('Pagantes'!$B$2:$B$268,A13)</x:f>
        <x:v>1</x:v>
      </x:c>
      <x:c r="E13" s="21" t="n">
        <x:f>SUMIF('Pagantes'!$B$2:$B$268,A13,'Pagantes'!$D$2:$D$268)</x:f>
        <x:v>1005.01</x:v>
      </x:c>
      <x:c r="F13" s="21" t="n">
        <x:f>SUMIFS('Pagantes'!$D$2:$D$268,'Pagantes'!$B$2:$B$268,A13,'Pagantes'!$E$2:$E$268,"&lt;&gt;Cancelado")</x:f>
        <x:v>1005.01</x:v>
      </x:c>
      <x:c r="G13" s="21" t="n">
        <x:f>E13-F13</x:f>
        <x:v>0</x:v>
      </x:c>
      <x:c r="H13" s="21" t="n">
        <x:f>ROUND(F13-C13,2)</x:f>
        <x:v>0</x:v>
      </x:c>
      <x:c r="I13" s="21" t="n">
        <x:f>ROUND(E13-C13,2)</x:f>
        <x:v>0</x:v>
      </x:c>
      <x:c r="J13" s="17" t="str">
        <x:f>IF(B13=0,"SEM SERVIÇO NA GERAL",IF(D13=0,"SEM PAGANTE NO ARQUIVO",IF(H13=0,"BATE",IF(H13&lt;0,"PAGANTES A MENOS","PAGANTES A MAIS"))))</x:f>
        <x:v>BATE</x:v>
      </x:c>
    </x:row>
    <x:row r="14" ht="15" hidden="0" customHeight="1">
      <x:c r="A14" s="17" t="str">
        <x:v>OP-1019</x:v>
      </x:c>
      <x:c r="B14" s="17" t="n">
        <x:f>COUNTIF('Serviços'!$B$2:$B$1264,A14)</x:f>
        <x:v>1</x:v>
      </x:c>
      <x:c r="C14" s="21" t="n">
        <x:f>SUMIF('Serviços'!$B$2:$B$1264,A14,'Serviços'!$I$2:$I$1264)</x:f>
        <x:v>463.05</x:v>
      </x:c>
      <x:c r="D14" s="21" t="n">
        <x:f>COUNTIF('Pagantes'!$B$2:$B$268,A14)</x:f>
        <x:v>0</x:v>
      </x:c>
      <x:c r="E14" s="21" t="n">
        <x:f>SUMIF('Pagantes'!$B$2:$B$268,A14,'Pagantes'!$D$2:$D$268)</x:f>
        <x:v>0</x:v>
      </x:c>
      <x:c r="F14" s="21" t="n">
        <x:f>SUMIFS('Pagantes'!$D$2:$D$268,'Pagantes'!$B$2:$B$268,A14,'Pagantes'!$E$2:$E$268,"&lt;&gt;Cancelado")</x:f>
        <x:v>0</x:v>
      </x:c>
      <x:c r="G14" s="21" t="n">
        <x:f>E14-F14</x:f>
        <x:v>0</x:v>
      </x:c>
      <x:c r="H14" s="21" t="n">
        <x:f>ROUND(F14-C14,2)</x:f>
        <x:v>-463.05</x:v>
      </x:c>
      <x:c r="I14" s="21" t="n">
        <x:f>ROUND(E14-C14,2)</x:f>
        <x:v>-463.05</x:v>
      </x:c>
      <x:c r="J14" s="17" t="str">
        <x:f>IF(B14=0,"SEM SERVIÇO NA GERAL",IF(D14=0,"SEM PAGANTE NO ARQUIVO",IF(H14=0,"BATE",IF(H14&lt;0,"PAGANTES A MENOS","PAGANTES A MAIS"))))</x:f>
        <x:v>SEM PAGANTE NO ARQUIVO</x:v>
      </x:c>
    </x:row>
    <x:row r="15" ht="15" hidden="0" customHeight="1">
      <x:c r="A15" s="17" t="str">
        <x:v>OP-1020</x:v>
      </x:c>
      <x:c r="B15" s="17" t="n">
        <x:f>COUNTIF('Serviços'!$B$2:$B$1264,A15)</x:f>
        <x:v>1</x:v>
      </x:c>
      <x:c r="C15" s="21" t="n">
        <x:f>SUMIF('Serviços'!$B$2:$B$1264,A15,'Serviços'!$I$2:$I$1264)</x:f>
        <x:v>173.51</x:v>
      </x:c>
      <x:c r="D15" s="21" t="n">
        <x:f>COUNTIF('Pagantes'!$B$2:$B$268,A15)</x:f>
        <x:v>0</x:v>
      </x:c>
      <x:c r="E15" s="21" t="n">
        <x:f>SUMIF('Pagantes'!$B$2:$B$268,A15,'Pagantes'!$D$2:$D$268)</x:f>
        <x:v>0</x:v>
      </x:c>
      <x:c r="F15" s="21" t="n">
        <x:f>SUMIFS('Pagantes'!$D$2:$D$268,'Pagantes'!$B$2:$B$268,A15,'Pagantes'!$E$2:$E$268,"&lt;&gt;Cancelado")</x:f>
        <x:v>0</x:v>
      </x:c>
      <x:c r="G15" s="21" t="n">
        <x:f>E15-F15</x:f>
        <x:v>0</x:v>
      </x:c>
      <x:c r="H15" s="21" t="n">
        <x:f>ROUND(F15-C15,2)</x:f>
        <x:v>-173.51</x:v>
      </x:c>
      <x:c r="I15" s="21" t="n">
        <x:f>ROUND(E15-C15,2)</x:f>
        <x:v>-173.51</x:v>
      </x:c>
      <x:c r="J15" s="17" t="str">
        <x:f>IF(B15=0,"SEM SERVIÇO NA GERAL",IF(D15=0,"SEM PAGANTE NO ARQUIVO",IF(H15=0,"BATE",IF(H15&lt;0,"PAGANTES A MENOS","PAGANTES A MAIS"))))</x:f>
        <x:v>SEM PAGANTE NO ARQUIVO</x:v>
      </x:c>
    </x:row>
    <x:row r="16" ht="15" hidden="0" customHeight="1">
      <x:c r="A16" s="17" t="str">
        <x:v>OP-1021</x:v>
      </x:c>
      <x:c r="B16" s="17" t="n">
        <x:f>COUNTIF('Serviços'!$B$2:$B$1264,A16)</x:f>
        <x:v>6</x:v>
      </x:c>
      <x:c r="C16" s="21" t="n">
        <x:f>SUMIF('Serviços'!$B$2:$B$1264,A16,'Serviços'!$I$2:$I$1264)</x:f>
        <x:v>1835.74</x:v>
      </x:c>
      <x:c r="D16" s="21" t="n">
        <x:f>COUNTIF('Pagantes'!$B$2:$B$268,A16)</x:f>
        <x:v>0</x:v>
      </x:c>
      <x:c r="E16" s="21" t="n">
        <x:f>SUMIF('Pagantes'!$B$2:$B$268,A16,'Pagantes'!$D$2:$D$268)</x:f>
        <x:v>0</x:v>
      </x:c>
      <x:c r="F16" s="21" t="n">
        <x:f>SUMIFS('Pagantes'!$D$2:$D$268,'Pagantes'!$B$2:$B$268,A16,'Pagantes'!$E$2:$E$268,"&lt;&gt;Cancelado")</x:f>
        <x:v>0</x:v>
      </x:c>
      <x:c r="G16" s="21" t="n">
        <x:f>E16-F16</x:f>
        <x:v>0</x:v>
      </x:c>
      <x:c r="H16" s="21" t="n">
        <x:f>ROUND(F16-C16,2)</x:f>
        <x:v>-1835.74</x:v>
      </x:c>
      <x:c r="I16" s="21" t="n">
        <x:f>ROUND(E16-C16,2)</x:f>
        <x:v>-1835.74</x:v>
      </x:c>
      <x:c r="J16" s="17" t="str">
        <x:f>IF(B16=0,"SEM SERVIÇO NA GERAL",IF(D16=0,"SEM PAGANTE NO ARQUIVO",IF(H16=0,"BATE",IF(H16&lt;0,"PAGANTES A MENOS","PAGANTES A MAIS"))))</x:f>
        <x:v>SEM PAGANTE NO ARQUIVO</x:v>
      </x:c>
    </x:row>
    <x:row r="17" ht="15" hidden="0" customHeight="1">
      <x:c r="A17" s="17" t="str">
        <x:v>OP-1022</x:v>
      </x:c>
      <x:c r="B17" s="17" t="n">
        <x:f>COUNTIF('Serviços'!$B$2:$B$1264,A17)</x:f>
        <x:v>12</x:v>
      </x:c>
      <x:c r="C17" s="21" t="n">
        <x:f>SUMIF('Serviços'!$B$2:$B$1264,A17,'Serviços'!$I$2:$I$1264)</x:f>
        <x:v>5315.76</x:v>
      </x:c>
      <x:c r="D17" s="21" t="n">
        <x:f>COUNTIF('Pagantes'!$B$2:$B$268,A17)</x:f>
        <x:v>0</x:v>
      </x:c>
      <x:c r="E17" s="21" t="n">
        <x:f>SUMIF('Pagantes'!$B$2:$B$268,A17,'Pagantes'!$D$2:$D$268)</x:f>
        <x:v>0</x:v>
      </x:c>
      <x:c r="F17" s="21" t="n">
        <x:f>SUMIFS('Pagantes'!$D$2:$D$268,'Pagantes'!$B$2:$B$268,A17,'Pagantes'!$E$2:$E$268,"&lt;&gt;Cancelado")</x:f>
        <x:v>0</x:v>
      </x:c>
      <x:c r="G17" s="21" t="n">
        <x:f>E17-F17</x:f>
        <x:v>0</x:v>
      </x:c>
      <x:c r="H17" s="21" t="n">
        <x:f>ROUND(F17-C17,2)</x:f>
        <x:v>-5315.76</x:v>
      </x:c>
      <x:c r="I17" s="21" t="n">
        <x:f>ROUND(E17-C17,2)</x:f>
        <x:v>-5315.76</x:v>
      </x:c>
      <x:c r="J17" s="17" t="str">
        <x:f>IF(B17=0,"SEM SERVIÇO NA GERAL",IF(D17=0,"SEM PAGANTE NO ARQUIVO",IF(H17=0,"BATE",IF(H17&lt;0,"PAGANTES A MENOS","PAGANTES A MAIS"))))</x:f>
        <x:v>SEM PAGANTE NO ARQUIVO</x:v>
      </x:c>
    </x:row>
    <x:row r="18" ht="15" hidden="0" customHeight="1">
      <x:c r="A18" s="17" t="str">
        <x:v>OP-1023</x:v>
      </x:c>
      <x:c r="B18" s="17" t="n">
        <x:f>COUNTIF('Serviços'!$B$2:$B$1264,A18)</x:f>
        <x:v>2</x:v>
      </x:c>
      <x:c r="C18" s="21" t="n">
        <x:f>SUMIF('Serviços'!$B$2:$B$1264,A18,'Serviços'!$I$2:$I$1264)</x:f>
        <x:v>2023.06</x:v>
      </x:c>
      <x:c r="D18" s="21" t="n">
        <x:f>COUNTIF('Pagantes'!$B$2:$B$268,A18)</x:f>
        <x:v>1</x:v>
      </x:c>
      <x:c r="E18" s="21" t="n">
        <x:f>SUMIF('Pagantes'!$B$2:$B$268,A18,'Pagantes'!$D$2:$D$268)</x:f>
        <x:v>2023.06</x:v>
      </x:c>
      <x:c r="F18" s="21" t="n">
        <x:f>SUMIFS('Pagantes'!$D$2:$D$268,'Pagantes'!$B$2:$B$268,A18,'Pagantes'!$E$2:$E$268,"&lt;&gt;Cancelado")</x:f>
        <x:v>2023.06</x:v>
      </x:c>
      <x:c r="G18" s="21" t="n">
        <x:f>E18-F18</x:f>
        <x:v>0</x:v>
      </x:c>
      <x:c r="H18" s="21" t="n">
        <x:f>ROUND(F18-C18,2)</x:f>
        <x:v>0</x:v>
      </x:c>
      <x:c r="I18" s="21" t="n">
        <x:f>ROUND(E18-C18,2)</x:f>
        <x:v>0</x:v>
      </x:c>
      <x:c r="J18" s="17" t="str">
        <x:f>IF(B18=0,"SEM SERVIÇO NA GERAL",IF(D18=0,"SEM PAGANTE NO ARQUIVO",IF(H18=0,"BATE",IF(H18&lt;0,"PAGANTES A MENOS","PAGANTES A MAIS"))))</x:f>
        <x:v>BATE</x:v>
      </x:c>
    </x:row>
    <x:row r="19" ht="15" hidden="0" customHeight="1">
      <x:c r="A19" s="17" t="str">
        <x:v>OP-1024</x:v>
      </x:c>
      <x:c r="B19" s="17" t="n">
        <x:f>COUNTIF('Serviços'!$B$2:$B$1264,A19)</x:f>
        <x:v>1</x:v>
      </x:c>
      <x:c r="C19" s="21" t="n">
        <x:f>SUMIF('Serviços'!$B$2:$B$1264,A19,'Serviços'!$I$2:$I$1264)</x:f>
        <x:v>1430.31</x:v>
      </x:c>
      <x:c r="D19" s="21" t="n">
        <x:f>COUNTIF('Pagantes'!$B$2:$B$268,A19)</x:f>
        <x:v>1</x:v>
      </x:c>
      <x:c r="E19" s="21" t="n">
        <x:f>SUMIF('Pagantes'!$B$2:$B$268,A19,'Pagantes'!$D$2:$D$268)</x:f>
        <x:v>1430.31</x:v>
      </x:c>
      <x:c r="F19" s="21" t="n">
        <x:f>SUMIFS('Pagantes'!$D$2:$D$268,'Pagantes'!$B$2:$B$268,A19,'Pagantes'!$E$2:$E$268,"&lt;&gt;Cancelado")</x:f>
        <x:v>1430.31</x:v>
      </x:c>
      <x:c r="G19" s="21" t="n">
        <x:f>E19-F19</x:f>
        <x:v>0</x:v>
      </x:c>
      <x:c r="H19" s="21" t="n">
        <x:f>ROUND(F19-C19,2)</x:f>
        <x:v>0</x:v>
      </x:c>
      <x:c r="I19" s="21" t="n">
        <x:f>ROUND(E19-C19,2)</x:f>
        <x:v>0</x:v>
      </x:c>
      <x:c r="J19" s="17" t="str">
        <x:f>IF(B19=0,"SEM SERVIÇO NA GERAL",IF(D19=0,"SEM PAGANTE NO ARQUIVO",IF(H19=0,"BATE",IF(H19&lt;0,"PAGANTES A MENOS","PAGANTES A MAIS"))))</x:f>
        <x:v>BATE</x:v>
      </x:c>
    </x:row>
    <x:row r="20" ht="15" hidden="0" customHeight="1">
      <x:c r="A20" s="17" t="str">
        <x:v>OP-1025</x:v>
      </x:c>
      <x:c r="B20" s="17" t="n">
        <x:f>COUNTIF('Serviços'!$B$2:$B$1264,A20)</x:f>
        <x:v>1</x:v>
      </x:c>
      <x:c r="C20" s="21" t="n">
        <x:f>SUMIF('Serviços'!$B$2:$B$1264,A20,'Serviços'!$I$2:$I$1264)</x:f>
        <x:v>300</x:v>
      </x:c>
      <x:c r="D20" s="21" t="n">
        <x:f>COUNTIF('Pagantes'!$B$2:$B$268,A20)</x:f>
        <x:v>0</x:v>
      </x:c>
      <x:c r="E20" s="21" t="n">
        <x:f>SUMIF('Pagantes'!$B$2:$B$268,A20,'Pagantes'!$D$2:$D$268)</x:f>
        <x:v>0</x:v>
      </x:c>
      <x:c r="F20" s="21" t="n">
        <x:f>SUMIFS('Pagantes'!$D$2:$D$268,'Pagantes'!$B$2:$B$268,A20,'Pagantes'!$E$2:$E$268,"&lt;&gt;Cancelado")</x:f>
        <x:v>0</x:v>
      </x:c>
      <x:c r="G20" s="21" t="n">
        <x:f>E20-F20</x:f>
        <x:v>0</x:v>
      </x:c>
      <x:c r="H20" s="21" t="n">
        <x:f>ROUND(F20-C20,2)</x:f>
        <x:v>-300</x:v>
      </x:c>
      <x:c r="I20" s="21" t="n">
        <x:f>ROUND(E20-C20,2)</x:f>
        <x:v>-300</x:v>
      </x:c>
      <x:c r="J20" s="17" t="str">
        <x:f>IF(B20=0,"SEM SERVIÇO NA GERAL",IF(D20=0,"SEM PAGANTE NO ARQUIVO",IF(H20=0,"BATE",IF(H20&lt;0,"PAGANTES A MENOS","PAGANTES A MAIS"))))</x:f>
        <x:v>SEM PAGANTE NO ARQUIVO</x:v>
      </x:c>
    </x:row>
    <x:row r="21" ht="15" hidden="0" customHeight="1">
      <x:c r="A21" s="17" t="str">
        <x:v>OP-1028</x:v>
      </x:c>
      <x:c r="B21" s="17" t="n">
        <x:f>COUNTIF('Serviços'!$B$2:$B$1264,A21)</x:f>
        <x:v>2</x:v>
      </x:c>
      <x:c r="C21" s="21" t="n">
        <x:f>SUMIF('Serviços'!$B$2:$B$1264,A21,'Serviços'!$I$2:$I$1264)</x:f>
        <x:v>859.1</x:v>
      </x:c>
      <x:c r="D21" s="21" t="n">
        <x:f>COUNTIF('Pagantes'!$B$2:$B$268,A21)</x:f>
        <x:v>1</x:v>
      </x:c>
      <x:c r="E21" s="21" t="n">
        <x:f>SUMIF('Pagantes'!$B$2:$B$268,A21,'Pagantes'!$D$2:$D$268)</x:f>
        <x:v>859.1</x:v>
      </x:c>
      <x:c r="F21" s="21" t="n">
        <x:f>SUMIFS('Pagantes'!$D$2:$D$268,'Pagantes'!$B$2:$B$268,A21,'Pagantes'!$E$2:$E$268,"&lt;&gt;Cancelado")</x:f>
        <x:v>859.1</x:v>
      </x:c>
      <x:c r="G21" s="21" t="n">
        <x:f>E21-F21</x:f>
        <x:v>0</x:v>
      </x:c>
      <x:c r="H21" s="21" t="n">
        <x:f>ROUND(F21-C21,2)</x:f>
        <x:v>0</x:v>
      </x:c>
      <x:c r="I21" s="21" t="n">
        <x:f>ROUND(E21-C21,2)</x:f>
        <x:v>0</x:v>
      </x:c>
      <x:c r="J21" s="17" t="str">
        <x:f>IF(B21=0,"SEM SERVIÇO NA GERAL",IF(D21=0,"SEM PAGANTE NO ARQUIVO",IF(H21=0,"BATE",IF(H21&lt;0,"PAGANTES A MENOS","PAGANTES A MAIS"))))</x:f>
        <x:v>BATE</x:v>
      </x:c>
    </x:row>
    <x:row r="22" ht="15" hidden="0" customHeight="1">
      <x:c r="A22" s="17" t="str">
        <x:v>OP-1031</x:v>
      </x:c>
      <x:c r="B22" s="17" t="n">
        <x:f>COUNTIF('Serviços'!$B$2:$B$1264,A22)</x:f>
        <x:v>2</x:v>
      </x:c>
      <x:c r="C22" s="21" t="n">
        <x:f>SUMIF('Serviços'!$B$2:$B$1264,A22,'Serviços'!$I$2:$I$1264)</x:f>
        <x:v>952.96</x:v>
      </x:c>
      <x:c r="D22" s="21" t="n">
        <x:f>COUNTIF('Pagantes'!$B$2:$B$268,A22)</x:f>
        <x:v>1</x:v>
      </x:c>
      <x:c r="E22" s="21" t="n">
        <x:f>SUMIF('Pagantes'!$B$2:$B$268,A22,'Pagantes'!$D$2:$D$268)</x:f>
        <x:v>952.96</x:v>
      </x:c>
      <x:c r="F22" s="21" t="n">
        <x:f>SUMIFS('Pagantes'!$D$2:$D$268,'Pagantes'!$B$2:$B$268,A22,'Pagantes'!$E$2:$E$268,"&lt;&gt;Cancelado")</x:f>
        <x:v>952.96</x:v>
      </x:c>
      <x:c r="G22" s="21" t="n">
        <x:f>E22-F22</x:f>
        <x:v>0</x:v>
      </x:c>
      <x:c r="H22" s="21" t="n">
        <x:f>ROUND(F22-C22,2)</x:f>
        <x:v>0</x:v>
      </x:c>
      <x:c r="I22" s="21" t="n">
        <x:f>ROUND(E22-C22,2)</x:f>
        <x:v>0</x:v>
      </x:c>
      <x:c r="J22" s="17" t="str">
        <x:f>IF(B22=0,"SEM SERVIÇO NA GERAL",IF(D22=0,"SEM PAGANTE NO ARQUIVO",IF(H22=0,"BATE",IF(H22&lt;0,"PAGANTES A MENOS","PAGANTES A MAIS"))))</x:f>
        <x:v>BATE</x:v>
      </x:c>
    </x:row>
    <x:row r="23" ht="15" hidden="0" customHeight="1">
      <x:c r="A23" s="17" t="str">
        <x:v>OP-1032</x:v>
      </x:c>
      <x:c r="B23" s="17" t="n">
        <x:f>COUNTIF('Serviços'!$B$2:$B$1264,A23)</x:f>
        <x:v>1</x:v>
      </x:c>
      <x:c r="C23" s="21" t="n">
        <x:f>SUMIF('Serviços'!$B$2:$B$1264,A23,'Serviços'!$I$2:$I$1264)</x:f>
        <x:v>620.49</x:v>
      </x:c>
      <x:c r="D23" s="21" t="n">
        <x:f>COUNTIF('Pagantes'!$B$2:$B$268,A23)</x:f>
        <x:v>1</x:v>
      </x:c>
      <x:c r="E23" s="21" t="n">
        <x:f>SUMIF('Pagantes'!$B$2:$B$268,A23,'Pagantes'!$D$2:$D$268)</x:f>
        <x:v>620.49</x:v>
      </x:c>
      <x:c r="F23" s="21" t="n">
        <x:f>SUMIFS('Pagantes'!$D$2:$D$268,'Pagantes'!$B$2:$B$268,A23,'Pagantes'!$E$2:$E$268,"&lt;&gt;Cancelado")</x:f>
        <x:v>620.49</x:v>
      </x:c>
      <x:c r="G23" s="21" t="n">
        <x:f>E23-F23</x:f>
        <x:v>0</x:v>
      </x:c>
      <x:c r="H23" s="21" t="n">
        <x:f>ROUND(F23-C23,2)</x:f>
        <x:v>0</x:v>
      </x:c>
      <x:c r="I23" s="21" t="n">
        <x:f>ROUND(E23-C23,2)</x:f>
        <x:v>0</x:v>
      </x:c>
      <x:c r="J23" s="17" t="str">
        <x:f>IF(B23=0,"SEM SERVIÇO NA GERAL",IF(D23=0,"SEM PAGANTE NO ARQUIVO",IF(H23=0,"BATE",IF(H23&lt;0,"PAGANTES A MENOS","PAGANTES A MAIS"))))</x:f>
        <x:v>BATE</x:v>
      </x:c>
    </x:row>
    <x:row r="24" ht="15" hidden="0" customHeight="1">
      <x:c r="A24" s="17" t="str">
        <x:v>OP-1033</x:v>
      </x:c>
      <x:c r="B24" s="17" t="n">
        <x:f>COUNTIF('Serviços'!$B$2:$B$1264,A24)</x:f>
        <x:v>2</x:v>
      </x:c>
      <x:c r="C24" s="21" t="n">
        <x:f>SUMIF('Serviços'!$B$2:$B$1264,A24,'Serviços'!$I$2:$I$1264)</x:f>
        <x:v>1273.98</x:v>
      </x:c>
      <x:c r="D24" s="21" t="n">
        <x:f>COUNTIF('Pagantes'!$B$2:$B$268,A24)</x:f>
        <x:v>1</x:v>
      </x:c>
      <x:c r="E24" s="21" t="n">
        <x:f>SUMIF('Pagantes'!$B$2:$B$268,A24,'Pagantes'!$D$2:$D$268)</x:f>
        <x:v>1273.98</x:v>
      </x:c>
      <x:c r="F24" s="21" t="n">
        <x:f>SUMIFS('Pagantes'!$D$2:$D$268,'Pagantes'!$B$2:$B$268,A24,'Pagantes'!$E$2:$E$268,"&lt;&gt;Cancelado")</x:f>
        <x:v>1273.98</x:v>
      </x:c>
      <x:c r="G24" s="21" t="n">
        <x:f>E24-F24</x:f>
        <x:v>0</x:v>
      </x:c>
      <x:c r="H24" s="21" t="n">
        <x:f>ROUND(F24-C24,2)</x:f>
        <x:v>0</x:v>
      </x:c>
      <x:c r="I24" s="21" t="n">
        <x:f>ROUND(E24-C24,2)</x:f>
        <x:v>0</x:v>
      </x:c>
      <x:c r="J24" s="17" t="str">
        <x:f>IF(B24=0,"SEM SERVIÇO NA GERAL",IF(D24=0,"SEM PAGANTE NO ARQUIVO",IF(H24=0,"BATE",IF(H24&lt;0,"PAGANTES A MENOS","PAGANTES A MAIS"))))</x:f>
        <x:v>BATE</x:v>
      </x:c>
    </x:row>
    <x:row r="25" ht="15" hidden="0" customHeight="1">
      <x:c r="A25" s="17" t="str">
        <x:v>OP-1034</x:v>
      </x:c>
      <x:c r="B25" s="17" t="n">
        <x:f>COUNTIF('Serviços'!$B$2:$B$1264,A25)</x:f>
        <x:v>1</x:v>
      </x:c>
      <x:c r="C25" s="21" t="n">
        <x:f>SUMIF('Serviços'!$B$2:$B$1264,A25,'Serviços'!$I$2:$I$1264)</x:f>
        <x:v>463.05</x:v>
      </x:c>
      <x:c r="D25" s="21" t="n">
        <x:f>COUNTIF('Pagantes'!$B$2:$B$268,A25)</x:f>
        <x:v>0</x:v>
      </x:c>
      <x:c r="E25" s="21" t="n">
        <x:f>SUMIF('Pagantes'!$B$2:$B$268,A25,'Pagantes'!$D$2:$D$268)</x:f>
        <x:v>0</x:v>
      </x:c>
      <x:c r="F25" s="21" t="n">
        <x:f>SUMIFS('Pagantes'!$D$2:$D$268,'Pagantes'!$B$2:$B$268,A25,'Pagantes'!$E$2:$E$268,"&lt;&gt;Cancelado")</x:f>
        <x:v>0</x:v>
      </x:c>
      <x:c r="G25" s="21" t="n">
        <x:f>E25-F25</x:f>
        <x:v>0</x:v>
      </x:c>
      <x:c r="H25" s="21" t="n">
        <x:f>ROUND(F25-C25,2)</x:f>
        <x:v>-463.05</x:v>
      </x:c>
      <x:c r="I25" s="21" t="n">
        <x:f>ROUND(E25-C25,2)</x:f>
        <x:v>-463.05</x:v>
      </x:c>
      <x:c r="J25" s="17" t="str">
        <x:f>IF(B25=0,"SEM SERVIÇO NA GERAL",IF(D25=0,"SEM PAGANTE NO ARQUIVO",IF(H25=0,"BATE",IF(H25&lt;0,"PAGANTES A MENOS","PAGANTES A MAIS"))))</x:f>
        <x:v>SEM PAGANTE NO ARQUIVO</x:v>
      </x:c>
    </x:row>
    <x:row r="26" ht="15" hidden="0" customHeight="1">
      <x:c r="A26" s="17" t="str">
        <x:v>OP-1035</x:v>
      </x:c>
      <x:c r="B26" s="17" t="n">
        <x:f>COUNTIF('Serviços'!$B$2:$B$1264,A26)</x:f>
        <x:v>1</x:v>
      </x:c>
      <x:c r="C26" s="21" t="n">
        <x:f>SUMIF('Serviços'!$B$2:$B$1264,A26,'Serviços'!$I$2:$I$1264)</x:f>
        <x:v>463.05</x:v>
      </x:c>
      <x:c r="D26" s="21" t="n">
        <x:f>COUNTIF('Pagantes'!$B$2:$B$268,A26)</x:f>
        <x:v>0</x:v>
      </x:c>
      <x:c r="E26" s="21" t="n">
        <x:f>SUMIF('Pagantes'!$B$2:$B$268,A26,'Pagantes'!$D$2:$D$268)</x:f>
        <x:v>0</x:v>
      </x:c>
      <x:c r="F26" s="21" t="n">
        <x:f>SUMIFS('Pagantes'!$D$2:$D$268,'Pagantes'!$B$2:$B$268,A26,'Pagantes'!$E$2:$E$268,"&lt;&gt;Cancelado")</x:f>
        <x:v>0</x:v>
      </x:c>
      <x:c r="G26" s="21" t="n">
        <x:f>E26-F26</x:f>
        <x:v>0</x:v>
      </x:c>
      <x:c r="H26" s="21" t="n">
        <x:f>ROUND(F26-C26,2)</x:f>
        <x:v>-463.05</x:v>
      </x:c>
      <x:c r="I26" s="21" t="n">
        <x:f>ROUND(E26-C26,2)</x:f>
        <x:v>-463.05</x:v>
      </x:c>
      <x:c r="J26" s="17" t="str">
        <x:f>IF(B26=0,"SEM SERVIÇO NA GERAL",IF(D26=0,"SEM PAGANTE NO ARQUIVO",IF(H26=0,"BATE",IF(H26&lt;0,"PAGANTES A MENOS","PAGANTES A MAIS"))))</x:f>
        <x:v>SEM PAGANTE NO ARQUIVO</x:v>
      </x:c>
    </x:row>
    <x:row r="27" ht="15" hidden="0" customHeight="1">
      <x:c r="A27" s="17" t="str">
        <x:v>OP-1036</x:v>
      </x:c>
      <x:c r="B27" s="17" t="n">
        <x:f>COUNTIF('Serviços'!$B$2:$B$1264,A27)</x:f>
        <x:v>2</x:v>
      </x:c>
      <x:c r="C27" s="21" t="n">
        <x:f>SUMIF('Serviços'!$B$2:$B$1264,A27,'Serviços'!$I$2:$I$1264)</x:f>
        <x:v>850</x:v>
      </x:c>
      <x:c r="D27" s="21" t="n">
        <x:f>COUNTIF('Pagantes'!$B$2:$B$268,A27)</x:f>
        <x:v>0</x:v>
      </x:c>
      <x:c r="E27" s="21" t="n">
        <x:f>SUMIF('Pagantes'!$B$2:$B$268,A27,'Pagantes'!$D$2:$D$268)</x:f>
        <x:v>0</x:v>
      </x:c>
      <x:c r="F27" s="21" t="n">
        <x:f>SUMIFS('Pagantes'!$D$2:$D$268,'Pagantes'!$B$2:$B$268,A27,'Pagantes'!$E$2:$E$268,"&lt;&gt;Cancelado")</x:f>
        <x:v>0</x:v>
      </x:c>
      <x:c r="G27" s="21" t="n">
        <x:f>E27-F27</x:f>
        <x:v>0</x:v>
      </x:c>
      <x:c r="H27" s="21" t="n">
        <x:f>ROUND(F27-C27,2)</x:f>
        <x:v>-850</x:v>
      </x:c>
      <x:c r="I27" s="21" t="n">
        <x:f>ROUND(E27-C27,2)</x:f>
        <x:v>-850</x:v>
      </x:c>
      <x:c r="J27" s="17" t="str">
        <x:f>IF(B27=0,"SEM SERVIÇO NA GERAL",IF(D27=0,"SEM PAGANTE NO ARQUIVO",IF(H27=0,"BATE",IF(H27&lt;0,"PAGANTES A MENOS","PAGANTES A MAIS"))))</x:f>
        <x:v>SEM PAGANTE NO ARQUIVO</x:v>
      </x:c>
    </x:row>
    <x:row r="28" ht="15" hidden="0" customHeight="1">
      <x:c r="A28" s="17" t="str">
        <x:v>OP-1037</x:v>
      </x:c>
      <x:c r="B28" s="17" t="n">
        <x:f>COUNTIF('Serviços'!$B$2:$B$1264,A28)</x:f>
        <x:v>2</x:v>
      </x:c>
      <x:c r="C28" s="21" t="n">
        <x:f>SUMIF('Serviços'!$B$2:$B$1264,A28,'Serviços'!$I$2:$I$1264)</x:f>
        <x:v>1528.0700000000002</x:v>
      </x:c>
      <x:c r="D28" s="21" t="n">
        <x:f>COUNTIF('Pagantes'!$B$2:$B$268,A28)</x:f>
        <x:v>1</x:v>
      </x:c>
      <x:c r="E28" s="21" t="n">
        <x:f>SUMIF('Pagantes'!$B$2:$B$268,A28,'Pagantes'!$D$2:$D$268)</x:f>
        <x:v>1528.07</x:v>
      </x:c>
      <x:c r="F28" s="21" t="n">
        <x:f>SUMIFS('Pagantes'!$D$2:$D$268,'Pagantes'!$B$2:$B$268,A28,'Pagantes'!$E$2:$E$268,"&lt;&gt;Cancelado")</x:f>
        <x:v>1528.07</x:v>
      </x:c>
      <x:c r="G28" s="21" t="n">
        <x:f>E28-F28</x:f>
        <x:v>0</x:v>
      </x:c>
      <x:c r="H28" s="21" t="n">
        <x:f>ROUND(F28-C28,2)</x:f>
        <x:v>0</x:v>
      </x:c>
      <x:c r="I28" s="21" t="n">
        <x:f>ROUND(E28-C28,2)</x:f>
        <x:v>0</x:v>
      </x:c>
      <x:c r="J28" s="17" t="str">
        <x:f>IF(B28=0,"SEM SERVIÇO NA GERAL",IF(D28=0,"SEM PAGANTE NO ARQUIVO",IF(H28=0,"BATE",IF(H28&lt;0,"PAGANTES A MENOS","PAGANTES A MAIS"))))</x:f>
        <x:v>BATE</x:v>
      </x:c>
    </x:row>
    <x:row r="29" ht="15" hidden="0" customHeight="1">
      <x:c r="A29" s="17" t="str">
        <x:v>OP-1038</x:v>
      </x:c>
      <x:c r="B29" s="17" t="n">
        <x:f>COUNTIF('Serviços'!$B$2:$B$1264,A29)</x:f>
        <x:v>3</x:v>
      </x:c>
      <x:c r="C29" s="21" t="n">
        <x:f>SUMIF('Serviços'!$B$2:$B$1264,A29,'Serviços'!$I$2:$I$1264)</x:f>
        <x:v>2287.26</x:v>
      </x:c>
      <x:c r="D29" s="21" t="n">
        <x:f>COUNTIF('Pagantes'!$B$2:$B$268,A29)</x:f>
        <x:v>0</x:v>
      </x:c>
      <x:c r="E29" s="21" t="n">
        <x:f>SUMIF('Pagantes'!$B$2:$B$268,A29,'Pagantes'!$D$2:$D$268)</x:f>
        <x:v>0</x:v>
      </x:c>
      <x:c r="F29" s="21" t="n">
        <x:f>SUMIFS('Pagantes'!$D$2:$D$268,'Pagantes'!$B$2:$B$268,A29,'Pagantes'!$E$2:$E$268,"&lt;&gt;Cancelado")</x:f>
        <x:v>0</x:v>
      </x:c>
      <x:c r="G29" s="21" t="n">
        <x:f>E29-F29</x:f>
        <x:v>0</x:v>
      </x:c>
      <x:c r="H29" s="21" t="n">
        <x:f>ROUND(F29-C29,2)</x:f>
        <x:v>-2287.26</x:v>
      </x:c>
      <x:c r="I29" s="21" t="n">
        <x:f>ROUND(E29-C29,2)</x:f>
        <x:v>-2287.26</x:v>
      </x:c>
      <x:c r="J29" s="17" t="str">
        <x:f>IF(B29=0,"SEM SERVIÇO NA GERAL",IF(D29=0,"SEM PAGANTE NO ARQUIVO",IF(H29=0,"BATE",IF(H29&lt;0,"PAGANTES A MENOS","PAGANTES A MAIS"))))</x:f>
        <x:v>SEM PAGANTE NO ARQUIVO</x:v>
      </x:c>
    </x:row>
    <x:row r="30" ht="15" hidden="0" customHeight="1">
      <x:c r="A30" s="17" t="str">
        <x:v>OP-1039</x:v>
      </x:c>
      <x:c r="B30" s="17" t="n">
        <x:f>COUNTIF('Serviços'!$B$2:$B$1264,A30)</x:f>
        <x:v>1</x:v>
      </x:c>
      <x:c r="C30" s="21" t="n">
        <x:f>SUMIF('Serviços'!$B$2:$B$1264,A30,'Serviços'!$I$2:$I$1264)</x:f>
        <x:v>442.98</x:v>
      </x:c>
      <x:c r="D30" s="21" t="n">
        <x:f>COUNTIF('Pagantes'!$B$2:$B$268,A30)</x:f>
        <x:v>1</x:v>
      </x:c>
      <x:c r="E30" s="21" t="n">
        <x:f>SUMIF('Pagantes'!$B$2:$B$268,A30,'Pagantes'!$D$2:$D$268)</x:f>
        <x:v>442.98</x:v>
      </x:c>
      <x:c r="F30" s="21" t="n">
        <x:f>SUMIFS('Pagantes'!$D$2:$D$268,'Pagantes'!$B$2:$B$268,A30,'Pagantes'!$E$2:$E$268,"&lt;&gt;Cancelado")</x:f>
        <x:v>442.98</x:v>
      </x:c>
      <x:c r="G30" s="21" t="n">
        <x:f>E30-F30</x:f>
        <x:v>0</x:v>
      </x:c>
      <x:c r="H30" s="21" t="n">
        <x:f>ROUND(F30-C30,2)</x:f>
        <x:v>0</x:v>
      </x:c>
      <x:c r="I30" s="21" t="n">
        <x:f>ROUND(E30-C30,2)</x:f>
        <x:v>0</x:v>
      </x:c>
      <x:c r="J30" s="17" t="str">
        <x:f>IF(B30=0,"SEM SERVIÇO NA GERAL",IF(D30=0,"SEM PAGANTE NO ARQUIVO",IF(H30=0,"BATE",IF(H30&lt;0,"PAGANTES A MENOS","PAGANTES A MAIS"))))</x:f>
        <x:v>BATE</x:v>
      </x:c>
    </x:row>
    <x:row r="31" ht="15" hidden="0" customHeight="1">
      <x:c r="A31" s="17" t="str">
        <x:v>OP-1040</x:v>
      </x:c>
      <x:c r="B31" s="17" t="n">
        <x:f>COUNTIF('Serviços'!$B$2:$B$1264,A31)</x:f>
        <x:v>1</x:v>
      </x:c>
      <x:c r="C31" s="21" t="n">
        <x:f>SUMIF('Serviços'!$B$2:$B$1264,A31,'Serviços'!$I$2:$I$1264)</x:f>
        <x:v>442.98</x:v>
      </x:c>
      <x:c r="D31" s="21" t="n">
        <x:f>COUNTIF('Pagantes'!$B$2:$B$268,A31)</x:f>
        <x:v>1</x:v>
      </x:c>
      <x:c r="E31" s="21" t="n">
        <x:f>SUMIF('Pagantes'!$B$2:$B$268,A31,'Pagantes'!$D$2:$D$268)</x:f>
        <x:v>442.98</x:v>
      </x:c>
      <x:c r="F31" s="21" t="n">
        <x:f>SUMIFS('Pagantes'!$D$2:$D$268,'Pagantes'!$B$2:$B$268,A31,'Pagantes'!$E$2:$E$268,"&lt;&gt;Cancelado")</x:f>
        <x:v>442.98</x:v>
      </x:c>
      <x:c r="G31" s="21" t="n">
        <x:f>E31-F31</x:f>
        <x:v>0</x:v>
      </x:c>
      <x:c r="H31" s="21" t="n">
        <x:f>ROUND(F31-C31,2)</x:f>
        <x:v>0</x:v>
      </x:c>
      <x:c r="I31" s="21" t="n">
        <x:f>ROUND(E31-C31,2)</x:f>
        <x:v>0</x:v>
      </x:c>
      <x:c r="J31" s="17" t="str">
        <x:f>IF(B31=0,"SEM SERVIÇO NA GERAL",IF(D31=0,"SEM PAGANTE NO ARQUIVO",IF(H31=0,"BATE",IF(H31&lt;0,"PAGANTES A MENOS","PAGANTES A MAIS"))))</x:f>
        <x:v>BATE</x:v>
      </x:c>
    </x:row>
    <x:row r="32" ht="15" hidden="0" customHeight="1">
      <x:c r="A32" s="17" t="str">
        <x:v>OP-1042</x:v>
      </x:c>
      <x:c r="B32" s="17" t="n">
        <x:f>COUNTIF('Serviços'!$B$2:$B$1264,A32)</x:f>
        <x:v>6</x:v>
      </x:c>
      <x:c r="C32" s="21" t="n">
        <x:f>SUMIF('Serviços'!$B$2:$B$1264,A32,'Serviços'!$I$2:$I$1264)</x:f>
        <x:v>3717.46</x:v>
      </x:c>
      <x:c r="D32" s="21" t="n">
        <x:f>COUNTIF('Pagantes'!$B$2:$B$268,A32)</x:f>
        <x:v>0</x:v>
      </x:c>
      <x:c r="E32" s="21" t="n">
        <x:f>SUMIF('Pagantes'!$B$2:$B$268,A32,'Pagantes'!$D$2:$D$268)</x:f>
        <x:v>0</x:v>
      </x:c>
      <x:c r="F32" s="21" t="n">
        <x:f>SUMIFS('Pagantes'!$D$2:$D$268,'Pagantes'!$B$2:$B$268,A32,'Pagantes'!$E$2:$E$268,"&lt;&gt;Cancelado")</x:f>
        <x:v>0</x:v>
      </x:c>
      <x:c r="G32" s="21" t="n">
        <x:f>E32-F32</x:f>
        <x:v>0</x:v>
      </x:c>
      <x:c r="H32" s="21" t="n">
        <x:f>ROUND(F32-C32,2)</x:f>
        <x:v>-3717.46</x:v>
      </x:c>
      <x:c r="I32" s="21" t="n">
        <x:f>ROUND(E32-C32,2)</x:f>
        <x:v>-3717.46</x:v>
      </x:c>
      <x:c r="J32" s="17" t="str">
        <x:f>IF(B32=0,"SEM SERVIÇO NA GERAL",IF(D32=0,"SEM PAGANTE NO ARQUIVO",IF(H32=0,"BATE",IF(H32&lt;0,"PAGANTES A MENOS","PAGANTES A MAIS"))))</x:f>
        <x:v>SEM PAGANTE NO ARQUIVO</x:v>
      </x:c>
    </x:row>
    <x:row r="33" ht="15" hidden="0" customHeight="1">
      <x:c r="A33" s="17" t="str">
        <x:v>OP-1043</x:v>
      </x:c>
      <x:c r="B33" s="17" t="n">
        <x:f>COUNTIF('Serviços'!$B$2:$B$1264,A33)</x:f>
        <x:v>1</x:v>
      </x:c>
      <x:c r="C33" s="21" t="n">
        <x:f>SUMIF('Serviços'!$B$2:$B$1264,A33,'Serviços'!$I$2:$I$1264)</x:f>
        <x:v>558.86</x:v>
      </x:c>
      <x:c r="D33" s="21" t="n">
        <x:f>COUNTIF('Pagantes'!$B$2:$B$268,A33)</x:f>
        <x:v>0</x:v>
      </x:c>
      <x:c r="E33" s="21" t="n">
        <x:f>SUMIF('Pagantes'!$B$2:$B$268,A33,'Pagantes'!$D$2:$D$268)</x:f>
        <x:v>0</x:v>
      </x:c>
      <x:c r="F33" s="21" t="n">
        <x:f>SUMIFS('Pagantes'!$D$2:$D$268,'Pagantes'!$B$2:$B$268,A33,'Pagantes'!$E$2:$E$268,"&lt;&gt;Cancelado")</x:f>
        <x:v>0</x:v>
      </x:c>
      <x:c r="G33" s="21" t="n">
        <x:f>E33-F33</x:f>
        <x:v>0</x:v>
      </x:c>
      <x:c r="H33" s="21" t="n">
        <x:f>ROUND(F33-C33,2)</x:f>
        <x:v>-558.86</x:v>
      </x:c>
      <x:c r="I33" s="21" t="n">
        <x:f>ROUND(E33-C33,2)</x:f>
        <x:v>-558.86</x:v>
      </x:c>
      <x:c r="J33" s="17" t="str">
        <x:f>IF(B33=0,"SEM SERVIÇO NA GERAL",IF(D33=0,"SEM PAGANTE NO ARQUIVO",IF(H33=0,"BATE",IF(H33&lt;0,"PAGANTES A MENOS","PAGANTES A MAIS"))))</x:f>
        <x:v>SEM PAGANTE NO ARQUIVO</x:v>
      </x:c>
    </x:row>
    <x:row r="34" ht="15" hidden="0" customHeight="1">
      <x:c r="A34" s="17" t="str">
        <x:v>OP-1044</x:v>
      </x:c>
      <x:c r="B34" s="17" t="n">
        <x:f>COUNTIF('Serviços'!$B$2:$B$1264,A34)</x:f>
        <x:v>1</x:v>
      </x:c>
      <x:c r="C34" s="21" t="n">
        <x:f>SUMIF('Serviços'!$B$2:$B$1264,A34,'Serviços'!$I$2:$I$1264)</x:f>
        <x:v>607.74</x:v>
      </x:c>
      <x:c r="D34" s="21" t="n">
        <x:f>COUNTIF('Pagantes'!$B$2:$B$268,A34)</x:f>
        <x:v>0</x:v>
      </x:c>
      <x:c r="E34" s="21" t="n">
        <x:f>SUMIF('Pagantes'!$B$2:$B$268,A34,'Pagantes'!$D$2:$D$268)</x:f>
        <x:v>0</x:v>
      </x:c>
      <x:c r="F34" s="21" t="n">
        <x:f>SUMIFS('Pagantes'!$D$2:$D$268,'Pagantes'!$B$2:$B$268,A34,'Pagantes'!$E$2:$E$268,"&lt;&gt;Cancelado")</x:f>
        <x:v>0</x:v>
      </x:c>
      <x:c r="G34" s="21" t="n">
        <x:f>E34-F34</x:f>
        <x:v>0</x:v>
      </x:c>
      <x:c r="H34" s="21" t="n">
        <x:f>ROUND(F34-C34,2)</x:f>
        <x:v>-607.74</x:v>
      </x:c>
      <x:c r="I34" s="21" t="n">
        <x:f>ROUND(E34-C34,2)</x:f>
        <x:v>-607.74</x:v>
      </x:c>
      <x:c r="J34" s="17" t="str">
        <x:f>IF(B34=0,"SEM SERVIÇO NA GERAL",IF(D34=0,"SEM PAGANTE NO ARQUIVO",IF(H34=0,"BATE",IF(H34&lt;0,"PAGANTES A MENOS","PAGANTES A MAIS"))))</x:f>
        <x:v>SEM PAGANTE NO ARQUIVO</x:v>
      </x:c>
    </x:row>
    <x:row r="35" ht="15" hidden="0" customHeight="1">
      <x:c r="A35" s="17" t="str">
        <x:v>OP-1045</x:v>
      </x:c>
      <x:c r="B35" s="17" t="n">
        <x:f>COUNTIF('Serviços'!$B$2:$B$1264,A35)</x:f>
        <x:v>1</x:v>
      </x:c>
      <x:c r="C35" s="21" t="n">
        <x:f>SUMIF('Serviços'!$B$2:$B$1264,A35,'Serviços'!$I$2:$I$1264)</x:f>
        <x:v>962.65</x:v>
      </x:c>
      <x:c r="D35" s="21" t="n">
        <x:f>COUNTIF('Pagantes'!$B$2:$B$268,A35)</x:f>
        <x:v>1</x:v>
      </x:c>
      <x:c r="E35" s="21" t="n">
        <x:f>SUMIF('Pagantes'!$B$2:$B$268,A35,'Pagantes'!$D$2:$D$268)</x:f>
        <x:v>962.65</x:v>
      </x:c>
      <x:c r="F35" s="21" t="n">
        <x:f>SUMIFS('Pagantes'!$D$2:$D$268,'Pagantes'!$B$2:$B$268,A35,'Pagantes'!$E$2:$E$268,"&lt;&gt;Cancelado")</x:f>
        <x:v>962.65</x:v>
      </x:c>
      <x:c r="G35" s="21" t="n">
        <x:f>E35-F35</x:f>
        <x:v>0</x:v>
      </x:c>
      <x:c r="H35" s="21" t="n">
        <x:f>ROUND(F35-C35,2)</x:f>
        <x:v>0</x:v>
      </x:c>
      <x:c r="I35" s="21" t="n">
        <x:f>ROUND(E35-C35,2)</x:f>
        <x:v>0</x:v>
      </x:c>
      <x:c r="J35" s="17" t="str">
        <x:f>IF(B35=0,"SEM SERVIÇO NA GERAL",IF(D35=0,"SEM PAGANTE NO ARQUIVO",IF(H35=0,"BATE",IF(H35&lt;0,"PAGANTES A MENOS","PAGANTES A MAIS"))))</x:f>
        <x:v>BATE</x:v>
      </x:c>
    </x:row>
    <x:row r="36" ht="15" hidden="0" customHeight="1">
      <x:c r="A36" s="17" t="str">
        <x:v>OP-1046</x:v>
      </x:c>
      <x:c r="B36" s="17" t="n">
        <x:f>COUNTIF('Serviços'!$B$2:$B$1264,A36)</x:f>
        <x:v>2</x:v>
      </x:c>
      <x:c r="C36" s="21" t="n">
        <x:f>SUMIF('Serviços'!$B$2:$B$1264,A36,'Serviços'!$I$2:$I$1264)</x:f>
        <x:v>952.96</x:v>
      </x:c>
      <x:c r="D36" s="21" t="n">
        <x:f>COUNTIF('Pagantes'!$B$2:$B$268,A36)</x:f>
        <x:v>1</x:v>
      </x:c>
      <x:c r="E36" s="21" t="n">
        <x:f>SUMIF('Pagantes'!$B$2:$B$268,A36,'Pagantes'!$D$2:$D$268)</x:f>
        <x:v>952.96</x:v>
      </x:c>
      <x:c r="F36" s="21" t="n">
        <x:f>SUMIFS('Pagantes'!$D$2:$D$268,'Pagantes'!$B$2:$B$268,A36,'Pagantes'!$E$2:$E$268,"&lt;&gt;Cancelado")</x:f>
        <x:v>952.96</x:v>
      </x:c>
      <x:c r="G36" s="21" t="n">
        <x:f>E36-F36</x:f>
        <x:v>0</x:v>
      </x:c>
      <x:c r="H36" s="21" t="n">
        <x:f>ROUND(F36-C36,2)</x:f>
        <x:v>0</x:v>
      </x:c>
      <x:c r="I36" s="21" t="n">
        <x:f>ROUND(E36-C36,2)</x:f>
        <x:v>0</x:v>
      </x:c>
      <x:c r="J36" s="17" t="str">
        <x:f>IF(B36=0,"SEM SERVIÇO NA GERAL",IF(D36=0,"SEM PAGANTE NO ARQUIVO",IF(H36=0,"BATE",IF(H36&lt;0,"PAGANTES A MENOS","PAGANTES A MAIS"))))</x:f>
        <x:v>BATE</x:v>
      </x:c>
    </x:row>
    <x:row r="37" ht="15" hidden="0" customHeight="1">
      <x:c r="A37" s="17" t="str">
        <x:v>OP-1047</x:v>
      </x:c>
      <x:c r="B37" s="17" t="n">
        <x:f>COUNTIF('Serviços'!$B$2:$B$1264,A37)</x:f>
        <x:v>2</x:v>
      </x:c>
      <x:c r="C37" s="21" t="n">
        <x:f>SUMIF('Serviços'!$B$2:$B$1264,A37,'Serviços'!$I$2:$I$1264)</x:f>
        <x:v>1231.36</x:v>
      </x:c>
      <x:c r="D37" s="21" t="n">
        <x:f>COUNTIF('Pagantes'!$B$2:$B$268,A37)</x:f>
        <x:v>1</x:v>
      </x:c>
      <x:c r="E37" s="21" t="n">
        <x:f>SUMIF('Pagantes'!$B$2:$B$268,A37,'Pagantes'!$D$2:$D$268)</x:f>
        <x:v>1214.36</x:v>
      </x:c>
      <x:c r="F37" s="21" t="n">
        <x:f>SUMIFS('Pagantes'!$D$2:$D$268,'Pagantes'!$B$2:$B$268,A37,'Pagantes'!$E$2:$E$268,"&lt;&gt;Cancelado")</x:f>
        <x:v>1214.36</x:v>
      </x:c>
      <x:c r="G37" s="21" t="n">
        <x:f>E37-F37</x:f>
        <x:v>0</x:v>
      </x:c>
      <x:c r="H37" s="21" t="n">
        <x:f>ROUND(F37-C37,2)</x:f>
        <x:v>-17</x:v>
      </x:c>
      <x:c r="I37" s="21" t="n">
        <x:f>ROUND(E37-C37,2)</x:f>
        <x:v>-17</x:v>
      </x:c>
      <x:c r="J37" s="17" t="str">
        <x:f>IF(B37=0,"SEM SERVIÇO NA GERAL",IF(D37=0,"SEM PAGANTE NO ARQUIVO",IF(H37=0,"BATE",IF(H37&lt;0,"PAGANTES A MENOS","PAGANTES A MAIS"))))</x:f>
        <x:v>PAGANTES A MENOS</x:v>
      </x:c>
    </x:row>
    <x:row r="38" ht="15" hidden="0" customHeight="1">
      <x:c r="A38" s="17" t="str">
        <x:v>OP-1048</x:v>
      </x:c>
      <x:c r="B38" s="17" t="n">
        <x:f>COUNTIF('Serviços'!$B$2:$B$1264,A38)</x:f>
        <x:v>1</x:v>
      </x:c>
      <x:c r="C38" s="21" t="n">
        <x:f>SUMIF('Serviços'!$B$2:$B$1264,A38,'Serviços'!$I$2:$I$1264)</x:f>
        <x:v>2210</x:v>
      </x:c>
      <x:c r="D38" s="21" t="n">
        <x:f>COUNTIF('Pagantes'!$B$2:$B$268,A38)</x:f>
        <x:v>0</x:v>
      </x:c>
      <x:c r="E38" s="21" t="n">
        <x:f>SUMIF('Pagantes'!$B$2:$B$268,A38,'Pagantes'!$D$2:$D$268)</x:f>
        <x:v>0</x:v>
      </x:c>
      <x:c r="F38" s="21" t="n">
        <x:f>SUMIFS('Pagantes'!$D$2:$D$268,'Pagantes'!$B$2:$B$268,A38,'Pagantes'!$E$2:$E$268,"&lt;&gt;Cancelado")</x:f>
        <x:v>0</x:v>
      </x:c>
      <x:c r="G38" s="21" t="n">
        <x:f>E38-F38</x:f>
        <x:v>0</x:v>
      </x:c>
      <x:c r="H38" s="21" t="n">
        <x:f>ROUND(F38-C38,2)</x:f>
        <x:v>-2210</x:v>
      </x:c>
      <x:c r="I38" s="21" t="n">
        <x:f>ROUND(E38-C38,2)</x:f>
        <x:v>-2210</x:v>
      </x:c>
      <x:c r="J38" s="17" t="str">
        <x:f>IF(B38=0,"SEM SERVIÇO NA GERAL",IF(D38=0,"SEM PAGANTE NO ARQUIVO",IF(H38=0,"BATE",IF(H38&lt;0,"PAGANTES A MENOS","PAGANTES A MAIS"))))</x:f>
        <x:v>SEM PAGANTE NO ARQUIVO</x:v>
      </x:c>
    </x:row>
    <x:row r="39" ht="15" hidden="0" customHeight="1">
      <x:c r="A39" s="17" t="str">
        <x:v>OP-1050</x:v>
      </x:c>
      <x:c r="B39" s="17" t="n">
        <x:f>COUNTIF('Serviços'!$B$2:$B$1264,A39)</x:f>
        <x:v>1</x:v>
      </x:c>
      <x:c r="C39" s="21" t="n">
        <x:f>SUMIF('Serviços'!$B$2:$B$1264,A39,'Serviços'!$I$2:$I$1264)</x:f>
        <x:v>911.01</x:v>
      </x:c>
      <x:c r="D39" s="21" t="n">
        <x:f>COUNTIF('Pagantes'!$B$2:$B$268,A39)</x:f>
        <x:v>1</x:v>
      </x:c>
      <x:c r="E39" s="21" t="n">
        <x:f>SUMIF('Pagantes'!$B$2:$B$268,A39,'Pagantes'!$D$2:$D$268)</x:f>
        <x:v>911.01</x:v>
      </x:c>
      <x:c r="F39" s="21" t="n">
        <x:f>SUMIFS('Pagantes'!$D$2:$D$268,'Pagantes'!$B$2:$B$268,A39,'Pagantes'!$E$2:$E$268,"&lt;&gt;Cancelado")</x:f>
        <x:v>911.01</x:v>
      </x:c>
      <x:c r="G39" s="21" t="n">
        <x:f>E39-F39</x:f>
        <x:v>0</x:v>
      </x:c>
      <x:c r="H39" s="21" t="n">
        <x:f>ROUND(F39-C39,2)</x:f>
        <x:v>0</x:v>
      </x:c>
      <x:c r="I39" s="21" t="n">
        <x:f>ROUND(E39-C39,2)</x:f>
        <x:v>0</x:v>
      </x:c>
      <x:c r="J39" s="17" t="str">
        <x:f>IF(B39=0,"SEM SERVIÇO NA GERAL",IF(D39=0,"SEM PAGANTE NO ARQUIVO",IF(H39=0,"BATE",IF(H39&lt;0,"PAGANTES A MENOS","PAGANTES A MAIS"))))</x:f>
        <x:v>BATE</x:v>
      </x:c>
    </x:row>
    <x:row r="40" ht="15" hidden="0" customHeight="1">
      <x:c r="A40" s="17" t="str">
        <x:v>OP-1051</x:v>
      </x:c>
      <x:c r="B40" s="17" t="n">
        <x:f>COUNTIF('Serviços'!$B$2:$B$1264,A40)</x:f>
        <x:v>1</x:v>
      </x:c>
      <x:c r="C40" s="21" t="n">
        <x:f>SUMIF('Serviços'!$B$2:$B$1264,A40,'Serviços'!$I$2:$I$1264)</x:f>
        <x:v>1207.05</x:v>
      </x:c>
      <x:c r="D40" s="21" t="n">
        <x:f>COUNTIF('Pagantes'!$B$2:$B$268,A40)</x:f>
        <x:v>1</x:v>
      </x:c>
      <x:c r="E40" s="21" t="n">
        <x:f>SUMIF('Pagantes'!$B$2:$B$268,A40,'Pagantes'!$D$2:$D$268)</x:f>
        <x:v>1207.05</x:v>
      </x:c>
      <x:c r="F40" s="21" t="n">
        <x:f>SUMIFS('Pagantes'!$D$2:$D$268,'Pagantes'!$B$2:$B$268,A40,'Pagantes'!$E$2:$E$268,"&lt;&gt;Cancelado")</x:f>
        <x:v>1207.05</x:v>
      </x:c>
      <x:c r="G40" s="21" t="n">
        <x:f>E40-F40</x:f>
        <x:v>0</x:v>
      </x:c>
      <x:c r="H40" s="21" t="n">
        <x:f>ROUND(F40-C40,2)</x:f>
        <x:v>0</x:v>
      </x:c>
      <x:c r="I40" s="21" t="n">
        <x:f>ROUND(E40-C40,2)</x:f>
        <x:v>0</x:v>
      </x:c>
      <x:c r="J40" s="17" t="str">
        <x:f>IF(B40=0,"SEM SERVIÇO NA GERAL",IF(D40=0,"SEM PAGANTE NO ARQUIVO",IF(H40=0,"BATE",IF(H40&lt;0,"PAGANTES A MENOS","PAGANTES A MAIS"))))</x:f>
        <x:v>BATE</x:v>
      </x:c>
    </x:row>
    <x:row r="41" ht="15" hidden="0" customHeight="1">
      <x:c r="A41" s="17" t="str">
        <x:v>OP-1052</x:v>
      </x:c>
      <x:c r="B41" s="17" t="n">
        <x:f>COUNTIF('Serviços'!$B$2:$B$1264,A41)</x:f>
        <x:v>5</x:v>
      </x:c>
      <x:c r="C41" s="21" t="n">
        <x:f>SUMIF('Serviços'!$B$2:$B$1264,A41,'Serviços'!$I$2:$I$1264)</x:f>
        <x:v>4678.52</x:v>
      </x:c>
      <x:c r="D41" s="21" t="n">
        <x:f>COUNTIF('Pagantes'!$B$2:$B$268,A41)</x:f>
        <x:v>0</x:v>
      </x:c>
      <x:c r="E41" s="21" t="n">
        <x:f>SUMIF('Pagantes'!$B$2:$B$268,A41,'Pagantes'!$D$2:$D$268)</x:f>
        <x:v>0</x:v>
      </x:c>
      <x:c r="F41" s="21" t="n">
        <x:f>SUMIFS('Pagantes'!$D$2:$D$268,'Pagantes'!$B$2:$B$268,A41,'Pagantes'!$E$2:$E$268,"&lt;&gt;Cancelado")</x:f>
        <x:v>0</x:v>
      </x:c>
      <x:c r="G41" s="21" t="n">
        <x:f>E41-F41</x:f>
        <x:v>0</x:v>
      </x:c>
      <x:c r="H41" s="21" t="n">
        <x:f>ROUND(F41-C41,2)</x:f>
        <x:v>-4678.52</x:v>
      </x:c>
      <x:c r="I41" s="21" t="n">
        <x:f>ROUND(E41-C41,2)</x:f>
        <x:v>-4678.52</x:v>
      </x:c>
      <x:c r="J41" s="17" t="str">
        <x:f>IF(B41=0,"SEM SERVIÇO NA GERAL",IF(D41=0,"SEM PAGANTE NO ARQUIVO",IF(H41=0,"BATE",IF(H41&lt;0,"PAGANTES A MENOS","PAGANTES A MAIS"))))</x:f>
        <x:v>SEM PAGANTE NO ARQUIVO</x:v>
      </x:c>
    </x:row>
    <x:row r="42" ht="15" hidden="0" customHeight="1">
      <x:c r="A42" s="17" t="str">
        <x:v>OP-1053</x:v>
      </x:c>
      <x:c r="B42" s="17" t="n">
        <x:f>COUNTIF('Serviços'!$B$2:$B$1264,A42)</x:f>
        <x:v>1</x:v>
      </x:c>
      <x:c r="C42" s="21" t="n">
        <x:f>SUMIF('Serviços'!$B$2:$B$1264,A42,'Serviços'!$I$2:$I$1264)</x:f>
        <x:v>509.98</x:v>
      </x:c>
      <x:c r="D42" s="21" t="n">
        <x:f>COUNTIF('Pagantes'!$B$2:$B$268,A42)</x:f>
        <x:v>0</x:v>
      </x:c>
      <x:c r="E42" s="21" t="n">
        <x:f>SUMIF('Pagantes'!$B$2:$B$268,A42,'Pagantes'!$D$2:$D$268)</x:f>
        <x:v>0</x:v>
      </x:c>
      <x:c r="F42" s="21" t="n">
        <x:f>SUMIFS('Pagantes'!$D$2:$D$268,'Pagantes'!$B$2:$B$268,A42,'Pagantes'!$E$2:$E$268,"&lt;&gt;Cancelado")</x:f>
        <x:v>0</x:v>
      </x:c>
      <x:c r="G42" s="21" t="n">
        <x:f>E42-F42</x:f>
        <x:v>0</x:v>
      </x:c>
      <x:c r="H42" s="21" t="n">
        <x:f>ROUND(F42-C42,2)</x:f>
        <x:v>-509.98</x:v>
      </x:c>
      <x:c r="I42" s="21" t="n">
        <x:f>ROUND(E42-C42,2)</x:f>
        <x:v>-509.98</x:v>
      </x:c>
      <x:c r="J42" s="17" t="str">
        <x:f>IF(B42=0,"SEM SERVIÇO NA GERAL",IF(D42=0,"SEM PAGANTE NO ARQUIVO",IF(H42=0,"BATE",IF(H42&lt;0,"PAGANTES A MENOS","PAGANTES A MAIS"))))</x:f>
        <x:v>SEM PAGANTE NO ARQUIVO</x:v>
      </x:c>
    </x:row>
    <x:row r="43" ht="15" hidden="0" customHeight="1">
      <x:c r="A43" s="17" t="str">
        <x:v>OP-1054</x:v>
      </x:c>
      <x:c r="B43" s="17" t="n">
        <x:f>COUNTIF('Serviços'!$B$2:$B$1264,A43)</x:f>
        <x:v>5</x:v>
      </x:c>
      <x:c r="C43" s="21" t="n">
        <x:f>SUMIF('Serviços'!$B$2:$B$1264,A43,'Serviços'!$I$2:$I$1264)</x:f>
        <x:v>3148.3100000000004</x:v>
      </x:c>
      <x:c r="D43" s="21" t="n">
        <x:f>COUNTIF('Pagantes'!$B$2:$B$268,A43)</x:f>
        <x:v>0</x:v>
      </x:c>
      <x:c r="E43" s="21" t="n">
        <x:f>SUMIF('Pagantes'!$B$2:$B$268,A43,'Pagantes'!$D$2:$D$268)</x:f>
        <x:v>0</x:v>
      </x:c>
      <x:c r="F43" s="21" t="n">
        <x:f>SUMIFS('Pagantes'!$D$2:$D$268,'Pagantes'!$B$2:$B$268,A43,'Pagantes'!$E$2:$E$268,"&lt;&gt;Cancelado")</x:f>
        <x:v>0</x:v>
      </x:c>
      <x:c r="G43" s="21" t="n">
        <x:f>E43-F43</x:f>
        <x:v>0</x:v>
      </x:c>
      <x:c r="H43" s="21" t="n">
        <x:f>ROUND(F43-C43,2)</x:f>
        <x:v>-3148.31</x:v>
      </x:c>
      <x:c r="I43" s="21" t="n">
        <x:f>ROUND(E43-C43,2)</x:f>
        <x:v>-3148.31</x:v>
      </x:c>
      <x:c r="J43" s="17" t="str">
        <x:f>IF(B43=0,"SEM SERVIÇO NA GERAL",IF(D43=0,"SEM PAGANTE NO ARQUIVO",IF(H43=0,"BATE",IF(H43&lt;0,"PAGANTES A MENOS","PAGANTES A MAIS"))))</x:f>
        <x:v>SEM PAGANTE NO ARQUIVO</x:v>
      </x:c>
    </x:row>
    <x:row r="44" ht="15" hidden="0" customHeight="1">
      <x:c r="A44" s="17" t="str">
        <x:v>OP-1055</x:v>
      </x:c>
      <x:c r="B44" s="17" t="n">
        <x:f>COUNTIF('Serviços'!$B$2:$B$1264,A44)</x:f>
        <x:v>2</x:v>
      </x:c>
      <x:c r="C44" s="21" t="n">
        <x:f>SUMIF('Serviços'!$B$2:$B$1264,A44,'Serviços'!$I$2:$I$1264)</x:f>
        <x:v>1371.74</x:v>
      </x:c>
      <x:c r="D44" s="21" t="n">
        <x:f>COUNTIF('Pagantes'!$B$2:$B$268,A44)</x:f>
        <x:v>1</x:v>
      </x:c>
      <x:c r="E44" s="21" t="n">
        <x:f>SUMIF('Pagantes'!$B$2:$B$268,A44,'Pagantes'!$D$2:$D$268)</x:f>
        <x:v>1371.74</x:v>
      </x:c>
      <x:c r="F44" s="21" t="n">
        <x:f>SUMIFS('Pagantes'!$D$2:$D$268,'Pagantes'!$B$2:$B$268,A44,'Pagantes'!$E$2:$E$268,"&lt;&gt;Cancelado")</x:f>
        <x:v>1371.74</x:v>
      </x:c>
      <x:c r="G44" s="21" t="n">
        <x:f>E44-F44</x:f>
        <x:v>0</x:v>
      </x:c>
      <x:c r="H44" s="21" t="n">
        <x:f>ROUND(F44-C44,2)</x:f>
        <x:v>0</x:v>
      </x:c>
      <x:c r="I44" s="21" t="n">
        <x:f>ROUND(E44-C44,2)</x:f>
        <x:v>0</x:v>
      </x:c>
      <x:c r="J44" s="17" t="str">
        <x:f>IF(B44=0,"SEM SERVIÇO NA GERAL",IF(D44=0,"SEM PAGANTE NO ARQUIVO",IF(H44=0,"BATE",IF(H44&lt;0,"PAGANTES A MENOS","PAGANTES A MAIS"))))</x:f>
        <x:v>BATE</x:v>
      </x:c>
    </x:row>
    <x:row r="45" ht="15" hidden="0" customHeight="1">
      <x:c r="A45" s="17" t="str">
        <x:v>OP-1056</x:v>
      </x:c>
      <x:c r="B45" s="17" t="n">
        <x:f>COUNTIF('Serviços'!$B$2:$B$1264,A45)</x:f>
        <x:v>2</x:v>
      </x:c>
      <x:c r="C45" s="21" t="n">
        <x:f>SUMIF('Serviços'!$B$2:$B$1264,A45,'Serviços'!$I$2:$I$1264)</x:f>
        <x:v>909.02</x:v>
      </x:c>
      <x:c r="D45" s="21" t="n">
        <x:f>COUNTIF('Pagantes'!$B$2:$B$268,A45)</x:f>
        <x:v>1</x:v>
      </x:c>
      <x:c r="E45" s="21" t="n">
        <x:f>SUMIF('Pagantes'!$B$2:$B$268,A45,'Pagantes'!$D$2:$D$268)</x:f>
        <x:v>909.02</x:v>
      </x:c>
      <x:c r="F45" s="21" t="n">
        <x:f>SUMIFS('Pagantes'!$D$2:$D$268,'Pagantes'!$B$2:$B$268,A45,'Pagantes'!$E$2:$E$268,"&lt;&gt;Cancelado")</x:f>
        <x:v>909.02</x:v>
      </x:c>
      <x:c r="G45" s="21" t="n">
        <x:f>E45-F45</x:f>
        <x:v>0</x:v>
      </x:c>
      <x:c r="H45" s="21" t="n">
        <x:f>ROUND(F45-C45,2)</x:f>
        <x:v>0</x:v>
      </x:c>
      <x:c r="I45" s="21" t="n">
        <x:f>ROUND(E45-C45,2)</x:f>
        <x:v>0</x:v>
      </x:c>
      <x:c r="J45" s="17" t="str">
        <x:f>IF(B45=0,"SEM SERVIÇO NA GERAL",IF(D45=0,"SEM PAGANTE NO ARQUIVO",IF(H45=0,"BATE",IF(H45&lt;0,"PAGANTES A MENOS","PAGANTES A MAIS"))))</x:f>
        <x:v>BATE</x:v>
      </x:c>
    </x:row>
    <x:row r="46" ht="15" hidden="0" customHeight="1">
      <x:c r="A46" s="17" t="str">
        <x:v>OP-1057</x:v>
      </x:c>
      <x:c r="B46" s="17" t="n">
        <x:f>COUNTIF('Serviços'!$B$2:$B$1264,A46)</x:f>
        <x:v>1</x:v>
      </x:c>
      <x:c r="C46" s="21" t="n">
        <x:f>SUMIF('Serviços'!$B$2:$B$1264,A46,'Serviços'!$I$2:$I$1264)</x:f>
        <x:v>509.98</x:v>
      </x:c>
      <x:c r="D46" s="21" t="n">
        <x:f>COUNTIF('Pagantes'!$B$2:$B$268,A46)</x:f>
        <x:v>1</x:v>
      </x:c>
      <x:c r="E46" s="21" t="n">
        <x:f>SUMIF('Pagantes'!$B$2:$B$268,A46,'Pagantes'!$D$2:$D$268)</x:f>
        <x:v>509.98</x:v>
      </x:c>
      <x:c r="F46" s="21" t="n">
        <x:f>SUMIFS('Pagantes'!$D$2:$D$268,'Pagantes'!$B$2:$B$268,A46,'Pagantes'!$E$2:$E$268,"&lt;&gt;Cancelado")</x:f>
        <x:v>509.98</x:v>
      </x:c>
      <x:c r="G46" s="21" t="n">
        <x:f>E46-F46</x:f>
        <x:v>0</x:v>
      </x:c>
      <x:c r="H46" s="21" t="n">
        <x:f>ROUND(F46-C46,2)</x:f>
        <x:v>0</x:v>
      </x:c>
      <x:c r="I46" s="21" t="n">
        <x:f>ROUND(E46-C46,2)</x:f>
        <x:v>0</x:v>
      </x:c>
      <x:c r="J46" s="17" t="str">
        <x:f>IF(B46=0,"SEM SERVIÇO NA GERAL",IF(D46=0,"SEM PAGANTE NO ARQUIVO",IF(H46=0,"BATE",IF(H46&lt;0,"PAGANTES A MENOS","PAGANTES A MAIS"))))</x:f>
        <x:v>BATE</x:v>
      </x:c>
    </x:row>
    <x:row r="47" ht="15" hidden="0" customHeight="1">
      <x:c r="A47" s="17" t="str">
        <x:v>OP-1058</x:v>
      </x:c>
      <x:c r="B47" s="17" t="n">
        <x:f>COUNTIF('Serviços'!$B$2:$B$1264,A47)</x:f>
        <x:v>2</x:v>
      </x:c>
      <x:c r="C47" s="21" t="n">
        <x:f>SUMIF('Serviços'!$B$2:$B$1264,A47,'Serviços'!$I$2:$I$1264)</x:f>
        <x:v>1232.12</x:v>
      </x:c>
      <x:c r="D47" s="21" t="n">
        <x:f>COUNTIF('Pagantes'!$B$2:$B$268,A47)</x:f>
        <x:v>1</x:v>
      </x:c>
      <x:c r="E47" s="21" t="n">
        <x:f>SUMIF('Pagantes'!$B$2:$B$268,A47,'Pagantes'!$D$2:$D$268)</x:f>
        <x:v>1232.12</x:v>
      </x:c>
      <x:c r="F47" s="21" t="n">
        <x:f>SUMIFS('Pagantes'!$D$2:$D$268,'Pagantes'!$B$2:$B$268,A47,'Pagantes'!$E$2:$E$268,"&lt;&gt;Cancelado")</x:f>
        <x:v>1232.12</x:v>
      </x:c>
      <x:c r="G47" s="21" t="n">
        <x:f>E47-F47</x:f>
        <x:v>0</x:v>
      </x:c>
      <x:c r="H47" s="21" t="n">
        <x:f>ROUND(F47-C47,2)</x:f>
        <x:v>0</x:v>
      </x:c>
      <x:c r="I47" s="21" t="n">
        <x:f>ROUND(E47-C47,2)</x:f>
        <x:v>0</x:v>
      </x:c>
      <x:c r="J47" s="17" t="str">
        <x:f>IF(B47=0,"SEM SERVIÇO NA GERAL",IF(D47=0,"SEM PAGANTE NO ARQUIVO",IF(H47=0,"BATE",IF(H47&lt;0,"PAGANTES A MENOS","PAGANTES A MAIS"))))</x:f>
        <x:v>BATE</x:v>
      </x:c>
    </x:row>
    <x:row r="48" ht="15" hidden="0" customHeight="1">
      <x:c r="A48" s="17" t="str">
        <x:v>OP-1059</x:v>
      </x:c>
      <x:c r="B48" s="17" t="n">
        <x:f>COUNTIF('Serviços'!$B$2:$B$1264,A48)</x:f>
        <x:v>1</x:v>
      </x:c>
      <x:c r="C48" s="21" t="n">
        <x:f>SUMIF('Serviços'!$B$2:$B$1264,A48,'Serviços'!$I$2:$I$1264)</x:f>
        <x:v>425</x:v>
      </x:c>
      <x:c r="D48" s="21" t="n">
        <x:f>COUNTIF('Pagantes'!$B$2:$B$268,A48)</x:f>
        <x:v>0</x:v>
      </x:c>
      <x:c r="E48" s="21" t="n">
        <x:f>SUMIF('Pagantes'!$B$2:$B$268,A48,'Pagantes'!$D$2:$D$268)</x:f>
        <x:v>0</x:v>
      </x:c>
      <x:c r="F48" s="21" t="n">
        <x:f>SUMIFS('Pagantes'!$D$2:$D$268,'Pagantes'!$B$2:$B$268,A48,'Pagantes'!$E$2:$E$268,"&lt;&gt;Cancelado")</x:f>
        <x:v>0</x:v>
      </x:c>
      <x:c r="G48" s="21" t="n">
        <x:f>E48-F48</x:f>
        <x:v>0</x:v>
      </x:c>
      <x:c r="H48" s="21" t="n">
        <x:f>ROUND(F48-C48,2)</x:f>
        <x:v>-425</x:v>
      </x:c>
      <x:c r="I48" s="21" t="n">
        <x:f>ROUND(E48-C48,2)</x:f>
        <x:v>-425</x:v>
      </x:c>
      <x:c r="J48" s="17" t="str">
        <x:f>IF(B48=0,"SEM SERVIÇO NA GERAL",IF(D48=0,"SEM PAGANTE NO ARQUIVO",IF(H48=0,"BATE",IF(H48&lt;0,"PAGANTES A MENOS","PAGANTES A MAIS"))))</x:f>
        <x:v>SEM PAGANTE NO ARQUIVO</x:v>
      </x:c>
    </x:row>
    <x:row r="49" ht="15" hidden="0" customHeight="1">
      <x:c r="A49" s="17" t="str">
        <x:v>OP-1060</x:v>
      </x:c>
      <x:c r="B49" s="17" t="n">
        <x:f>COUNTIF('Serviços'!$B$2:$B$1264,A49)</x:f>
        <x:v>2</x:v>
      </x:c>
      <x:c r="C49" s="21" t="n">
        <x:f>SUMIF('Serviços'!$B$2:$B$1264,A49,'Serviços'!$I$2:$I$1264)</x:f>
        <x:v>952.96</x:v>
      </x:c>
      <x:c r="D49" s="21" t="n">
        <x:f>COUNTIF('Pagantes'!$B$2:$B$268,A49)</x:f>
        <x:v>1</x:v>
      </x:c>
      <x:c r="E49" s="21" t="n">
        <x:f>SUMIF('Pagantes'!$B$2:$B$268,A49,'Pagantes'!$D$2:$D$268)</x:f>
        <x:v>952.96</x:v>
      </x:c>
      <x:c r="F49" s="21" t="n">
        <x:f>SUMIFS('Pagantes'!$D$2:$D$268,'Pagantes'!$B$2:$B$268,A49,'Pagantes'!$E$2:$E$268,"&lt;&gt;Cancelado")</x:f>
        <x:v>952.96</x:v>
      </x:c>
      <x:c r="G49" s="21" t="n">
        <x:f>E49-F49</x:f>
        <x:v>0</x:v>
      </x:c>
      <x:c r="H49" s="21" t="n">
        <x:f>ROUND(F49-C49,2)</x:f>
        <x:v>0</x:v>
      </x:c>
      <x:c r="I49" s="21" t="n">
        <x:f>ROUND(E49-C49,2)</x:f>
        <x:v>0</x:v>
      </x:c>
      <x:c r="J49" s="17" t="str">
        <x:f>IF(B49=0,"SEM SERVIÇO NA GERAL",IF(D49=0,"SEM PAGANTE NO ARQUIVO",IF(H49=0,"BATE",IF(H49&lt;0,"PAGANTES A MENOS","PAGANTES A MAIS"))))</x:f>
        <x:v>BATE</x:v>
      </x:c>
    </x:row>
    <x:row r="50" ht="15" hidden="0" customHeight="1">
      <x:c r="A50" s="17" t="str">
        <x:v>OP-1061</x:v>
      </x:c>
      <x:c r="B50" s="17" t="n">
        <x:f>COUNTIF('Serviços'!$B$2:$B$1264,A50)</x:f>
        <x:v>1</x:v>
      </x:c>
      <x:c r="C50" s="21" t="n">
        <x:f>SUMIF('Serviços'!$B$2:$B$1264,A50,'Serviços'!$I$2:$I$1264)</x:f>
        <x:v>713.56</x:v>
      </x:c>
      <x:c r="D50" s="21" t="n">
        <x:f>COUNTIF('Pagantes'!$B$2:$B$268,A50)</x:f>
        <x:v>0</x:v>
      </x:c>
      <x:c r="E50" s="21" t="n">
        <x:f>SUMIF('Pagantes'!$B$2:$B$268,A50,'Pagantes'!$D$2:$D$268)</x:f>
        <x:v>0</x:v>
      </x:c>
      <x:c r="F50" s="21" t="n">
        <x:f>SUMIFS('Pagantes'!$D$2:$D$268,'Pagantes'!$B$2:$B$268,A50,'Pagantes'!$E$2:$E$268,"&lt;&gt;Cancelado")</x:f>
        <x:v>0</x:v>
      </x:c>
      <x:c r="G50" s="21" t="n">
        <x:f>E50-F50</x:f>
        <x:v>0</x:v>
      </x:c>
      <x:c r="H50" s="21" t="n">
        <x:f>ROUND(F50-C50,2)</x:f>
        <x:v>-713.56</x:v>
      </x:c>
      <x:c r="I50" s="21" t="n">
        <x:f>ROUND(E50-C50,2)</x:f>
        <x:v>-713.56</x:v>
      </x:c>
      <x:c r="J50" s="17" t="str">
        <x:f>IF(B50=0,"SEM SERVIÇO NA GERAL",IF(D50=0,"SEM PAGANTE NO ARQUIVO",IF(H50=0,"BATE",IF(H50&lt;0,"PAGANTES A MENOS","PAGANTES A MAIS"))))</x:f>
        <x:v>SEM PAGANTE NO ARQUIVO</x:v>
      </x:c>
    </x:row>
    <x:row r="51" ht="15" hidden="0" customHeight="1">
      <x:c r="A51" s="17" t="str">
        <x:v>OP-1062</x:v>
      </x:c>
      <x:c r="B51" s="17" t="n">
        <x:f>COUNTIF('Serviços'!$B$2:$B$1264,A51)</x:f>
        <x:v>1</x:v>
      </x:c>
      <x:c r="C51" s="21" t="n">
        <x:f>SUMIF('Serviços'!$B$2:$B$1264,A51,'Serviços'!$I$2:$I$1264)</x:f>
        <x:v>780.56</x:v>
      </x:c>
      <x:c r="D51" s="21" t="n">
        <x:f>COUNTIF('Pagantes'!$B$2:$B$268,A51)</x:f>
        <x:v>0</x:v>
      </x:c>
      <x:c r="E51" s="21" t="n">
        <x:f>SUMIF('Pagantes'!$B$2:$B$268,A51,'Pagantes'!$D$2:$D$268)</x:f>
        <x:v>0</x:v>
      </x:c>
      <x:c r="F51" s="21" t="n">
        <x:f>SUMIFS('Pagantes'!$D$2:$D$268,'Pagantes'!$B$2:$B$268,A51,'Pagantes'!$E$2:$E$268,"&lt;&gt;Cancelado")</x:f>
        <x:v>0</x:v>
      </x:c>
      <x:c r="G51" s="21" t="n">
        <x:f>E51-F51</x:f>
        <x:v>0</x:v>
      </x:c>
      <x:c r="H51" s="21" t="n">
        <x:f>ROUND(F51-C51,2)</x:f>
        <x:v>-780.56</x:v>
      </x:c>
      <x:c r="I51" s="21" t="n">
        <x:f>ROUND(E51-C51,2)</x:f>
        <x:v>-780.56</x:v>
      </x:c>
      <x:c r="J51" s="17" t="str">
        <x:f>IF(B51=0,"SEM SERVIÇO NA GERAL",IF(D51=0,"SEM PAGANTE NO ARQUIVO",IF(H51=0,"BATE",IF(H51&lt;0,"PAGANTES A MENOS","PAGANTES A MAIS"))))</x:f>
        <x:v>SEM PAGANTE NO ARQUIVO</x:v>
      </x:c>
    </x:row>
    <x:row r="52" ht="15" hidden="0" customHeight="1">
      <x:c r="A52" s="17" t="str">
        <x:v>OP-1063</x:v>
      </x:c>
      <x:c r="B52" s="17" t="n">
        <x:f>COUNTIF('Serviços'!$B$2:$B$1264,A52)</x:f>
        <x:v>2</x:v>
      </x:c>
      <x:c r="C52" s="21" t="n">
        <x:f>SUMIF('Serviços'!$B$2:$B$1264,A52,'Serviços'!$I$2:$I$1264)</x:f>
        <x:v>952.96</x:v>
      </x:c>
      <x:c r="D52" s="21" t="n">
        <x:f>COUNTIF('Pagantes'!$B$2:$B$268,A52)</x:f>
        <x:v>1</x:v>
      </x:c>
      <x:c r="E52" s="21" t="n">
        <x:f>SUMIF('Pagantes'!$B$2:$B$268,A52,'Pagantes'!$D$2:$D$268)</x:f>
        <x:v>952.96</x:v>
      </x:c>
      <x:c r="F52" s="21" t="n">
        <x:f>SUMIFS('Pagantes'!$D$2:$D$268,'Pagantes'!$B$2:$B$268,A52,'Pagantes'!$E$2:$E$268,"&lt;&gt;Cancelado")</x:f>
        <x:v>952.96</x:v>
      </x:c>
      <x:c r="G52" s="21" t="n">
        <x:f>E52-F52</x:f>
        <x:v>0</x:v>
      </x:c>
      <x:c r="H52" s="21" t="n">
        <x:f>ROUND(F52-C52,2)</x:f>
        <x:v>0</x:v>
      </x:c>
      <x:c r="I52" s="21" t="n">
        <x:f>ROUND(E52-C52,2)</x:f>
        <x:v>0</x:v>
      </x:c>
      <x:c r="J52" s="17" t="str">
        <x:f>IF(B52=0,"SEM SERVIÇO NA GERAL",IF(D52=0,"SEM PAGANTE NO ARQUIVO",IF(H52=0,"BATE",IF(H52&lt;0,"PAGANTES A MENOS","PAGANTES A MAIS"))))</x:f>
        <x:v>BATE</x:v>
      </x:c>
    </x:row>
    <x:row r="53" ht="15" hidden="0" customHeight="1">
      <x:c r="A53" s="17" t="str">
        <x:v>OP-1064</x:v>
      </x:c>
      <x:c r="B53" s="17" t="n">
        <x:f>COUNTIF('Serviços'!$B$2:$B$1264,A53)</x:f>
        <x:v>12</x:v>
      </x:c>
      <x:c r="C53" s="21" t="n">
        <x:f>SUMIF('Serviços'!$B$2:$B$1264,A53,'Serviços'!$I$2:$I$1264)</x:f>
        <x:v>5073.490000000001</x:v>
      </x:c>
      <x:c r="D53" s="21" t="n">
        <x:f>COUNTIF('Pagantes'!$B$2:$B$268,A53)</x:f>
        <x:v>5</x:v>
      </x:c>
      <x:c r="E53" s="21" t="n">
        <x:f>SUMIF('Pagantes'!$B$2:$B$268,A53,'Pagantes'!$D$2:$D$268)</x:f>
        <x:v>5073.490000000001</x:v>
      </x:c>
      <x:c r="F53" s="21" t="n">
        <x:f>SUMIFS('Pagantes'!$D$2:$D$268,'Pagantes'!$B$2:$B$268,A53,'Pagantes'!$E$2:$E$268,"&lt;&gt;Cancelado")</x:f>
        <x:v>5073.490000000001</x:v>
      </x:c>
      <x:c r="G53" s="21" t="n">
        <x:f>E53-F53</x:f>
        <x:v>0</x:v>
      </x:c>
      <x:c r="H53" s="21" t="n">
        <x:f>ROUND(F53-C53,2)</x:f>
        <x:v>0</x:v>
      </x:c>
      <x:c r="I53" s="21" t="n">
        <x:f>ROUND(E53-C53,2)</x:f>
        <x:v>0</x:v>
      </x:c>
      <x:c r="J53" s="17" t="str">
        <x:f>IF(B53=0,"SEM SERVIÇO NA GERAL",IF(D53=0,"SEM PAGANTE NO ARQUIVO",IF(H53=0,"BATE",IF(H53&lt;0,"PAGANTES A MENOS","PAGANTES A MAIS"))))</x:f>
        <x:v>BATE</x:v>
      </x:c>
    </x:row>
    <x:row r="54" ht="15" hidden="0" customHeight="1">
      <x:c r="A54" s="17" t="str">
        <x:v>OP-1065</x:v>
      </x:c>
      <x:c r="B54" s="17" t="n">
        <x:f>COUNTIF('Serviços'!$B$2:$B$1264,A54)</x:f>
        <x:v>1</x:v>
      </x:c>
      <x:c r="C54" s="21" t="n">
        <x:f>SUMIF('Serviços'!$B$2:$B$1264,A54,'Serviços'!$I$2:$I$1264)</x:f>
        <x:v>463.05</x:v>
      </x:c>
      <x:c r="D54" s="21" t="n">
        <x:f>COUNTIF('Pagantes'!$B$2:$B$268,A54)</x:f>
        <x:v>0</x:v>
      </x:c>
      <x:c r="E54" s="21" t="n">
        <x:f>SUMIF('Pagantes'!$B$2:$B$268,A54,'Pagantes'!$D$2:$D$268)</x:f>
        <x:v>0</x:v>
      </x:c>
      <x:c r="F54" s="21" t="n">
        <x:f>SUMIFS('Pagantes'!$D$2:$D$268,'Pagantes'!$B$2:$B$268,A54,'Pagantes'!$E$2:$E$268,"&lt;&gt;Cancelado")</x:f>
        <x:v>0</x:v>
      </x:c>
      <x:c r="G54" s="21" t="n">
        <x:f>E54-F54</x:f>
        <x:v>0</x:v>
      </x:c>
      <x:c r="H54" s="21" t="n">
        <x:f>ROUND(F54-C54,2)</x:f>
        <x:v>-463.05</x:v>
      </x:c>
      <x:c r="I54" s="21" t="n">
        <x:f>ROUND(E54-C54,2)</x:f>
        <x:v>-463.05</x:v>
      </x:c>
      <x:c r="J54" s="17" t="str">
        <x:f>IF(B54=0,"SEM SERVIÇO NA GERAL",IF(D54=0,"SEM PAGANTE NO ARQUIVO",IF(H54=0,"BATE",IF(H54&lt;0,"PAGANTES A MENOS","PAGANTES A MAIS"))))</x:f>
        <x:v>SEM PAGANTE NO ARQUIVO</x:v>
      </x:c>
    </x:row>
    <x:row r="55" ht="15" hidden="0" customHeight="1">
      <x:c r="A55" s="17" t="str">
        <x:v>OP-1066</x:v>
      </x:c>
      <x:c r="B55" s="17" t="n">
        <x:f>COUNTIF('Serviços'!$B$2:$B$1264,A55)</x:f>
        <x:v>3</x:v>
      </x:c>
      <x:c r="C55" s="21" t="n">
        <x:f>SUMIF('Serviços'!$B$2:$B$1264,A55,'Serviços'!$I$2:$I$1264)</x:f>
        <x:v>1930.6</x:v>
      </x:c>
      <x:c r="D55" s="21" t="n">
        <x:f>COUNTIF('Pagantes'!$B$2:$B$268,A55)</x:f>
        <x:v>3</x:v>
      </x:c>
      <x:c r="E55" s="21" t="n">
        <x:f>SUMIF('Pagantes'!$B$2:$B$268,A55,'Pagantes'!$D$2:$D$268)</x:f>
        <x:v>1930.6100000000001</x:v>
      </x:c>
      <x:c r="F55" s="21" t="n">
        <x:f>SUMIFS('Pagantes'!$D$2:$D$268,'Pagantes'!$B$2:$B$268,A55,'Pagantes'!$E$2:$E$268,"&lt;&gt;Cancelado")</x:f>
        <x:v>1930.6100000000001</x:v>
      </x:c>
      <x:c r="G55" s="21" t="n">
        <x:f>E55-F55</x:f>
        <x:v>0</x:v>
      </x:c>
      <x:c r="H55" s="21" t="n">
        <x:f>ROUND(F55-C55,2)</x:f>
        <x:v>0.01</x:v>
      </x:c>
      <x:c r="I55" s="21" t="n">
        <x:f>ROUND(E55-C55,2)</x:f>
        <x:v>0.01</x:v>
      </x:c>
      <x:c r="J55" s="17" t="str">
        <x:f>IF(B55=0,"SEM SERVIÇO NA GERAL",IF(D55=0,"SEM PAGANTE NO ARQUIVO",IF(H55=0,"BATE",IF(H55&lt;0,"PAGANTES A MENOS","PAGANTES A MAIS"))))</x:f>
        <x:v>PAGANTES A MAIS</x:v>
      </x:c>
    </x:row>
    <x:row r="56" ht="15" hidden="0" customHeight="1">
      <x:c r="A56" s="17" t="str">
        <x:v>OP-1067</x:v>
      </x:c>
      <x:c r="B56" s="17" t="n">
        <x:f>COUNTIF('Serviços'!$B$2:$B$1264,A56)</x:f>
        <x:v>2</x:v>
      </x:c>
      <x:c r="C56" s="21" t="n">
        <x:f>SUMIF('Serviços'!$B$2:$B$1264,A56,'Serviços'!$I$2:$I$1264)</x:f>
        <x:v>2103.5</x:v>
      </x:c>
      <x:c r="D56" s="21" t="n">
        <x:f>COUNTIF('Pagantes'!$B$2:$B$268,A56)</x:f>
        <x:v>0</x:v>
      </x:c>
      <x:c r="E56" s="21" t="n">
        <x:f>SUMIF('Pagantes'!$B$2:$B$268,A56,'Pagantes'!$D$2:$D$268)</x:f>
        <x:v>0</x:v>
      </x:c>
      <x:c r="F56" s="21" t="n">
        <x:f>SUMIFS('Pagantes'!$D$2:$D$268,'Pagantes'!$B$2:$B$268,A56,'Pagantes'!$E$2:$E$268,"&lt;&gt;Cancelado")</x:f>
        <x:v>0</x:v>
      </x:c>
      <x:c r="G56" s="21" t="n">
        <x:f>E56-F56</x:f>
        <x:v>0</x:v>
      </x:c>
      <x:c r="H56" s="21" t="n">
        <x:f>ROUND(F56-C56,2)</x:f>
        <x:v>-2103.5</x:v>
      </x:c>
      <x:c r="I56" s="21" t="n">
        <x:f>ROUND(E56-C56,2)</x:f>
        <x:v>-2103.5</x:v>
      </x:c>
      <x:c r="J56" s="17" t="str">
        <x:f>IF(B56=0,"SEM SERVIÇO NA GERAL",IF(D56=0,"SEM PAGANTE NO ARQUIVO",IF(H56=0,"BATE",IF(H56&lt;0,"PAGANTES A MENOS","PAGANTES A MAIS"))))</x:f>
        <x:v>SEM PAGANTE NO ARQUIVO</x:v>
      </x:c>
    </x:row>
    <x:row r="57" ht="15" hidden="0" customHeight="1">
      <x:c r="A57" s="17" t="str">
        <x:v>OP-1068</x:v>
      </x:c>
      <x:c r="B57" s="17" t="n">
        <x:f>COUNTIF('Serviços'!$B$2:$B$1264,A57)</x:f>
        <x:v>5</x:v>
      </x:c>
      <x:c r="C57" s="21" t="n">
        <x:f>SUMIF('Serviços'!$B$2:$B$1264,A57,'Serviços'!$I$2:$I$1264)</x:f>
        <x:v>7452.870000000001</x:v>
      </x:c>
      <x:c r="D57" s="21" t="n">
        <x:f>COUNTIF('Pagantes'!$B$2:$B$268,A57)</x:f>
        <x:v>0</x:v>
      </x:c>
      <x:c r="E57" s="21" t="n">
        <x:f>SUMIF('Pagantes'!$B$2:$B$268,A57,'Pagantes'!$D$2:$D$268)</x:f>
        <x:v>0</x:v>
      </x:c>
      <x:c r="F57" s="21" t="n">
        <x:f>SUMIFS('Pagantes'!$D$2:$D$268,'Pagantes'!$B$2:$B$268,A57,'Pagantes'!$E$2:$E$268,"&lt;&gt;Cancelado")</x:f>
        <x:v>0</x:v>
      </x:c>
      <x:c r="G57" s="21" t="n">
        <x:f>E57-F57</x:f>
        <x:v>0</x:v>
      </x:c>
      <x:c r="H57" s="21" t="n">
        <x:f>ROUND(F57-C57,2)</x:f>
        <x:v>-7452.87</x:v>
      </x:c>
      <x:c r="I57" s="21" t="n">
        <x:f>ROUND(E57-C57,2)</x:f>
        <x:v>-7452.87</x:v>
      </x:c>
      <x:c r="J57" s="17" t="str">
        <x:f>IF(B57=0,"SEM SERVIÇO NA GERAL",IF(D57=0,"SEM PAGANTE NO ARQUIVO",IF(H57=0,"BATE",IF(H57&lt;0,"PAGANTES A MENOS","PAGANTES A MAIS"))))</x:f>
        <x:v>SEM PAGANTE NO ARQUIVO</x:v>
      </x:c>
    </x:row>
    <x:row r="58" ht="15" hidden="0" customHeight="1">
      <x:c r="A58" s="17" t="str">
        <x:v>OP-1069</x:v>
      </x:c>
      <x:c r="B58" s="17" t="n">
        <x:f>COUNTIF('Serviços'!$B$2:$B$1264,A58)</x:f>
        <x:v>2</x:v>
      </x:c>
      <x:c r="C58" s="21" t="n">
        <x:f>SUMIF('Serviços'!$B$2:$B$1264,A58,'Serviços'!$I$2:$I$1264)</x:f>
        <x:v>1273.98</x:v>
      </x:c>
      <x:c r="D58" s="21" t="n">
        <x:f>COUNTIF('Pagantes'!$B$2:$B$268,A58)</x:f>
        <x:v>0</x:v>
      </x:c>
      <x:c r="E58" s="21" t="n">
        <x:f>SUMIF('Pagantes'!$B$2:$B$268,A58,'Pagantes'!$D$2:$D$268)</x:f>
        <x:v>0</x:v>
      </x:c>
      <x:c r="F58" s="21" t="n">
        <x:f>SUMIFS('Pagantes'!$D$2:$D$268,'Pagantes'!$B$2:$B$268,A58,'Pagantes'!$E$2:$E$268,"&lt;&gt;Cancelado")</x:f>
        <x:v>0</x:v>
      </x:c>
      <x:c r="G58" s="21" t="n">
        <x:f>E58-F58</x:f>
        <x:v>0</x:v>
      </x:c>
      <x:c r="H58" s="21" t="n">
        <x:f>ROUND(F58-C58,2)</x:f>
        <x:v>-1273.98</x:v>
      </x:c>
      <x:c r="I58" s="21" t="n">
        <x:f>ROUND(E58-C58,2)</x:f>
        <x:v>-1273.98</x:v>
      </x:c>
      <x:c r="J58" s="17" t="str">
        <x:f>IF(B58=0,"SEM SERVIÇO NA GERAL",IF(D58=0,"SEM PAGANTE NO ARQUIVO",IF(H58=0,"BATE",IF(H58&lt;0,"PAGANTES A MENOS","PAGANTES A MAIS"))))</x:f>
        <x:v>SEM PAGANTE NO ARQUIVO</x:v>
      </x:c>
    </x:row>
    <x:row r="59" ht="15" hidden="0" customHeight="1">
      <x:c r="A59" s="17" t="str">
        <x:v>OP-1070</x:v>
      </x:c>
      <x:c r="B59" s="17" t="n">
        <x:f>COUNTIF('Serviços'!$B$2:$B$1264,A59)</x:f>
        <x:v>1</x:v>
      </x:c>
      <x:c r="C59" s="21" t="n">
        <x:f>SUMIF('Serviços'!$B$2:$B$1264,A59,'Serviços'!$I$2:$I$1264)</x:f>
        <x:v>624.18</x:v>
      </x:c>
      <x:c r="D59" s="21" t="n">
        <x:f>COUNTIF('Pagantes'!$B$2:$B$268,A59)</x:f>
        <x:v>1</x:v>
      </x:c>
      <x:c r="E59" s="21" t="n">
        <x:f>SUMIF('Pagantes'!$B$2:$B$268,A59,'Pagantes'!$D$2:$D$268)</x:f>
        <x:v>624.18</x:v>
      </x:c>
      <x:c r="F59" s="21" t="n">
        <x:f>SUMIFS('Pagantes'!$D$2:$D$268,'Pagantes'!$B$2:$B$268,A59,'Pagantes'!$E$2:$E$268,"&lt;&gt;Cancelado")</x:f>
        <x:v>624.18</x:v>
      </x:c>
      <x:c r="G59" s="21" t="n">
        <x:f>E59-F59</x:f>
        <x:v>0</x:v>
      </x:c>
      <x:c r="H59" s="21" t="n">
        <x:f>ROUND(F59-C59,2)</x:f>
        <x:v>0</x:v>
      </x:c>
      <x:c r="I59" s="21" t="n">
        <x:f>ROUND(E59-C59,2)</x:f>
        <x:v>0</x:v>
      </x:c>
      <x:c r="J59" s="17" t="str">
        <x:f>IF(B59=0,"SEM SERVIÇO NA GERAL",IF(D59=0,"SEM PAGANTE NO ARQUIVO",IF(H59=0,"BATE",IF(H59&lt;0,"PAGANTES A MENOS","PAGANTES A MAIS"))))</x:f>
        <x:v>BATE</x:v>
      </x:c>
    </x:row>
    <x:row r="60" ht="15" hidden="0" customHeight="1">
      <x:c r="A60" s="17" t="str">
        <x:v>OP-1071</x:v>
      </x:c>
      <x:c r="B60" s="17" t="n">
        <x:f>COUNTIF('Serviços'!$B$2:$B$1264,A60)</x:f>
        <x:v>1</x:v>
      </x:c>
      <x:c r="C60" s="21" t="n">
        <x:f>SUMIF('Serviços'!$B$2:$B$1264,A60,'Serviços'!$I$2:$I$1264)</x:f>
        <x:v>615.33</x:v>
      </x:c>
      <x:c r="D60" s="21" t="n">
        <x:f>COUNTIF('Pagantes'!$B$2:$B$268,A60)</x:f>
        <x:v>1</x:v>
      </x:c>
      <x:c r="E60" s="21" t="n">
        <x:f>SUMIF('Pagantes'!$B$2:$B$268,A60,'Pagantes'!$D$2:$D$268)</x:f>
        <x:v>615.33</x:v>
      </x:c>
      <x:c r="F60" s="21" t="n">
        <x:f>SUMIFS('Pagantes'!$D$2:$D$268,'Pagantes'!$B$2:$B$268,A60,'Pagantes'!$E$2:$E$268,"&lt;&gt;Cancelado")</x:f>
        <x:v>615.33</x:v>
      </x:c>
      <x:c r="G60" s="21" t="n">
        <x:f>E60-F60</x:f>
        <x:v>0</x:v>
      </x:c>
      <x:c r="H60" s="21" t="n">
        <x:f>ROUND(F60-C60,2)</x:f>
        <x:v>0</x:v>
      </x:c>
      <x:c r="I60" s="21" t="n">
        <x:f>ROUND(E60-C60,2)</x:f>
        <x:v>0</x:v>
      </x:c>
      <x:c r="J60" s="17" t="str">
        <x:f>IF(B60=0,"SEM SERVIÇO NA GERAL",IF(D60=0,"SEM PAGANTE NO ARQUIVO",IF(H60=0,"BATE",IF(H60&lt;0,"PAGANTES A MENOS","PAGANTES A MAIS"))))</x:f>
        <x:v>BATE</x:v>
      </x:c>
    </x:row>
    <x:row r="61" ht="15" hidden="0" customHeight="1">
      <x:c r="A61" s="17" t="str">
        <x:v>OP-1072</x:v>
      </x:c>
      <x:c r="B61" s="17" t="n">
        <x:f>COUNTIF('Serviços'!$B$2:$B$1264,A61)</x:f>
        <x:v>2</x:v>
      </x:c>
      <x:c r="C61" s="21" t="n">
        <x:f>SUMIF('Serviços'!$B$2:$B$1264,A61,'Serviços'!$I$2:$I$1264)</x:f>
        <x:v>2412.88</x:v>
      </x:c>
      <x:c r="D61" s="21" t="n">
        <x:f>COUNTIF('Pagantes'!$B$2:$B$268,A61)</x:f>
        <x:v>0</x:v>
      </x:c>
      <x:c r="E61" s="21" t="n">
        <x:f>SUMIF('Pagantes'!$B$2:$B$268,A61,'Pagantes'!$D$2:$D$268)</x:f>
        <x:v>0</x:v>
      </x:c>
      <x:c r="F61" s="21" t="n">
        <x:f>SUMIFS('Pagantes'!$D$2:$D$268,'Pagantes'!$B$2:$B$268,A61,'Pagantes'!$E$2:$E$268,"&lt;&gt;Cancelado")</x:f>
        <x:v>0</x:v>
      </x:c>
      <x:c r="G61" s="21" t="n">
        <x:f>E61-F61</x:f>
        <x:v>0</x:v>
      </x:c>
      <x:c r="H61" s="21" t="n">
        <x:f>ROUND(F61-C61,2)</x:f>
        <x:v>-2412.88</x:v>
      </x:c>
      <x:c r="I61" s="21" t="n">
        <x:f>ROUND(E61-C61,2)</x:f>
        <x:v>-2412.88</x:v>
      </x:c>
      <x:c r="J61" s="17" t="str">
        <x:f>IF(B61=0,"SEM SERVIÇO NA GERAL",IF(D61=0,"SEM PAGANTE NO ARQUIVO",IF(H61=0,"BATE",IF(H61&lt;0,"PAGANTES A MENOS","PAGANTES A MAIS"))))</x:f>
        <x:v>SEM PAGANTE NO ARQUIVO</x:v>
      </x:c>
    </x:row>
    <x:row r="62" ht="15" hidden="0" customHeight="1">
      <x:c r="A62" s="17" t="str">
        <x:v>OP-1073</x:v>
      </x:c>
      <x:c r="B62" s="17" t="n">
        <x:f>COUNTIF('Serviços'!$B$2:$B$1264,A62)</x:f>
        <x:v>2</x:v>
      </x:c>
      <x:c r="C62" s="21" t="n">
        <x:f>SUMIF('Serviços'!$B$2:$B$1264,A62,'Serviços'!$I$2:$I$1264)</x:f>
        <x:v>1113.47</x:v>
      </x:c>
      <x:c r="D62" s="21" t="n">
        <x:f>COUNTIF('Pagantes'!$B$2:$B$268,A62)</x:f>
        <x:v>1</x:v>
      </x:c>
      <x:c r="E62" s="21" t="n">
        <x:f>SUMIF('Pagantes'!$B$2:$B$268,A62,'Pagantes'!$D$2:$D$268)</x:f>
        <x:v>1113.47</x:v>
      </x:c>
      <x:c r="F62" s="21" t="n">
        <x:f>SUMIFS('Pagantes'!$D$2:$D$268,'Pagantes'!$B$2:$B$268,A62,'Pagantes'!$E$2:$E$268,"&lt;&gt;Cancelado")</x:f>
        <x:v>1113.47</x:v>
      </x:c>
      <x:c r="G62" s="21" t="n">
        <x:f>E62-F62</x:f>
        <x:v>0</x:v>
      </x:c>
      <x:c r="H62" s="21" t="n">
        <x:f>ROUND(F62-C62,2)</x:f>
        <x:v>0</x:v>
      </x:c>
      <x:c r="I62" s="21" t="n">
        <x:f>ROUND(E62-C62,2)</x:f>
        <x:v>0</x:v>
      </x:c>
      <x:c r="J62" s="17" t="str">
        <x:f>IF(B62=0,"SEM SERVIÇO NA GERAL",IF(D62=0,"SEM PAGANTE NO ARQUIVO",IF(H62=0,"BATE",IF(H62&lt;0,"PAGANTES A MENOS","PAGANTES A MAIS"))))</x:f>
        <x:v>BATE</x:v>
      </x:c>
    </x:row>
    <x:row r="63" ht="15" hidden="0" customHeight="1">
      <x:c r="A63" s="17" t="str">
        <x:v>OP-1074</x:v>
      </x:c>
      <x:c r="B63" s="17" t="n">
        <x:f>COUNTIF('Serviços'!$B$2:$B$1264,A63)</x:f>
        <x:v>2</x:v>
      </x:c>
      <x:c r="C63" s="21" t="n">
        <x:f>SUMIF('Serviços'!$B$2:$B$1264,A63,'Serviços'!$I$2:$I$1264)</x:f>
        <x:v>859.1</x:v>
      </x:c>
      <x:c r="D63" s="21" t="n">
        <x:f>COUNTIF('Pagantes'!$B$2:$B$268,A63)</x:f>
        <x:v>1</x:v>
      </x:c>
      <x:c r="E63" s="21" t="n">
        <x:f>SUMIF('Pagantes'!$B$2:$B$268,A63,'Pagantes'!$D$2:$D$268)</x:f>
        <x:v>859.1</x:v>
      </x:c>
      <x:c r="F63" s="21" t="n">
        <x:f>SUMIFS('Pagantes'!$D$2:$D$268,'Pagantes'!$B$2:$B$268,A63,'Pagantes'!$E$2:$E$268,"&lt;&gt;Cancelado")</x:f>
        <x:v>859.1</x:v>
      </x:c>
      <x:c r="G63" s="21" t="n">
        <x:f>E63-F63</x:f>
        <x:v>0</x:v>
      </x:c>
      <x:c r="H63" s="21" t="n">
        <x:f>ROUND(F63-C63,2)</x:f>
        <x:v>0</x:v>
      </x:c>
      <x:c r="I63" s="21" t="n">
        <x:f>ROUND(E63-C63,2)</x:f>
        <x:v>0</x:v>
      </x:c>
      <x:c r="J63" s="17" t="str">
        <x:f>IF(B63=0,"SEM SERVIÇO NA GERAL",IF(D63=0,"SEM PAGANTE NO ARQUIVO",IF(H63=0,"BATE",IF(H63&lt;0,"PAGANTES A MENOS","PAGANTES A MAIS"))))</x:f>
        <x:v>BATE</x:v>
      </x:c>
    </x:row>
    <x:row r="64" ht="15" hidden="0" customHeight="1">
      <x:c r="A64" s="17" t="str">
        <x:v>OP-1077</x:v>
      </x:c>
      <x:c r="B64" s="17" t="n">
        <x:f>COUNTIF('Serviços'!$B$2:$B$1264,A64)</x:f>
        <x:v>2</x:v>
      </x:c>
      <x:c r="C64" s="21" t="n">
        <x:f>SUMIF('Serviços'!$B$2:$B$1264,A64,'Serviços'!$I$2:$I$1264)</x:f>
        <x:v>1050.72</x:v>
      </x:c>
      <x:c r="D64" s="21" t="n">
        <x:f>COUNTIF('Pagantes'!$B$2:$B$268,A64)</x:f>
        <x:v>1</x:v>
      </x:c>
      <x:c r="E64" s="21" t="n">
        <x:f>SUMIF('Pagantes'!$B$2:$B$268,A64,'Pagantes'!$D$2:$D$268)</x:f>
        <x:v>1050.72</x:v>
      </x:c>
      <x:c r="F64" s="21" t="n">
        <x:f>SUMIFS('Pagantes'!$D$2:$D$268,'Pagantes'!$B$2:$B$268,A64,'Pagantes'!$E$2:$E$268,"&lt;&gt;Cancelado")</x:f>
        <x:v>1050.72</x:v>
      </x:c>
      <x:c r="G64" s="21" t="n">
        <x:f>E64-F64</x:f>
        <x:v>0</x:v>
      </x:c>
      <x:c r="H64" s="21" t="n">
        <x:f>ROUND(F64-C64,2)</x:f>
        <x:v>0</x:v>
      </x:c>
      <x:c r="I64" s="21" t="n">
        <x:f>ROUND(E64-C64,2)</x:f>
        <x:v>0</x:v>
      </x:c>
      <x:c r="J64" s="17" t="str">
        <x:f>IF(B64=0,"SEM SERVIÇO NA GERAL",IF(D64=0,"SEM PAGANTE NO ARQUIVO",IF(H64=0,"BATE",IF(H64&lt;0,"PAGANTES A MENOS","PAGANTES A MAIS"))))</x:f>
        <x:v>BATE</x:v>
      </x:c>
    </x:row>
    <x:row r="65" ht="15" hidden="0" customHeight="1">
      <x:c r="A65" s="17" t="str">
        <x:v>OP-1078</x:v>
      </x:c>
      <x:c r="B65" s="17" t="n">
        <x:f>COUNTIF('Serviços'!$B$2:$B$1264,A65)</x:f>
        <x:v>2</x:v>
      </x:c>
      <x:c r="C65" s="21" t="n">
        <x:f>SUMIF('Serviços'!$B$2:$B$1264,A65,'Serviços'!$I$2:$I$1264)</x:f>
        <x:v>952.96</x:v>
      </x:c>
      <x:c r="D65" s="21" t="n">
        <x:f>COUNTIF('Pagantes'!$B$2:$B$268,A65)</x:f>
        <x:v>1</x:v>
      </x:c>
      <x:c r="E65" s="21" t="n">
        <x:f>SUMIF('Pagantes'!$B$2:$B$268,A65,'Pagantes'!$D$2:$D$268)</x:f>
        <x:v>952.96</x:v>
      </x:c>
      <x:c r="F65" s="21" t="n">
        <x:f>SUMIFS('Pagantes'!$D$2:$D$268,'Pagantes'!$B$2:$B$268,A65,'Pagantes'!$E$2:$E$268,"&lt;&gt;Cancelado")</x:f>
        <x:v>952.96</x:v>
      </x:c>
      <x:c r="G65" s="21" t="n">
        <x:f>E65-F65</x:f>
        <x:v>0</x:v>
      </x:c>
      <x:c r="H65" s="21" t="n">
        <x:f>ROUND(F65-C65,2)</x:f>
        <x:v>0</x:v>
      </x:c>
      <x:c r="I65" s="21" t="n">
        <x:f>ROUND(E65-C65,2)</x:f>
        <x:v>0</x:v>
      </x:c>
      <x:c r="J65" s="17" t="str">
        <x:f>IF(B65=0,"SEM SERVIÇO NA GERAL",IF(D65=0,"SEM PAGANTE NO ARQUIVO",IF(H65=0,"BATE",IF(H65&lt;0,"PAGANTES A MENOS","PAGANTES A MAIS"))))</x:f>
        <x:v>BATE</x:v>
      </x:c>
    </x:row>
    <x:row r="66" ht="15" hidden="0" customHeight="1">
      <x:c r="A66" s="17" t="str">
        <x:v>OP-1079</x:v>
      </x:c>
      <x:c r="B66" s="17" t="n">
        <x:f>COUNTIF('Serviços'!$B$2:$B$1264,A66)</x:f>
        <x:v>3</x:v>
      </x:c>
      <x:c r="C66" s="21" t="n">
        <x:f>SUMIF('Serviços'!$B$2:$B$1264,A66,'Serviços'!$I$2:$I$1264)</x:f>
        <x:v>1395.94</x:v>
      </x:c>
      <x:c r="D66" s="21" t="n">
        <x:f>COUNTIF('Pagantes'!$B$2:$B$268,A66)</x:f>
        <x:v>1</x:v>
      </x:c>
      <x:c r="E66" s="21" t="n">
        <x:f>SUMIF('Pagantes'!$B$2:$B$268,A66,'Pagantes'!$D$2:$D$268)</x:f>
        <x:v>1395.94</x:v>
      </x:c>
      <x:c r="F66" s="21" t="n">
        <x:f>SUMIFS('Pagantes'!$D$2:$D$268,'Pagantes'!$B$2:$B$268,A66,'Pagantes'!$E$2:$E$268,"&lt;&gt;Cancelado")</x:f>
        <x:v>1395.94</x:v>
      </x:c>
      <x:c r="G66" s="21" t="n">
        <x:f>E66-F66</x:f>
        <x:v>0</x:v>
      </x:c>
      <x:c r="H66" s="21" t="n">
        <x:f>ROUND(F66-C66,2)</x:f>
        <x:v>0</x:v>
      </x:c>
      <x:c r="I66" s="21" t="n">
        <x:f>ROUND(E66-C66,2)</x:f>
        <x:v>0</x:v>
      </x:c>
      <x:c r="J66" s="17" t="str">
        <x:f>IF(B66=0,"SEM SERVIÇO NA GERAL",IF(D66=0,"SEM PAGANTE NO ARQUIVO",IF(H66=0,"BATE",IF(H66&lt;0,"PAGANTES A MENOS","PAGANTES A MAIS"))))</x:f>
        <x:v>BATE</x:v>
      </x:c>
    </x:row>
    <x:row r="67" ht="15" hidden="0" customHeight="1">
      <x:c r="A67" s="17" t="str">
        <x:v>OP-1080</x:v>
      </x:c>
      <x:c r="B67" s="17" t="n">
        <x:f>COUNTIF('Serviços'!$B$2:$B$1264,A67)</x:f>
        <x:v>1</x:v>
      </x:c>
      <x:c r="C67" s="21" t="n">
        <x:f>SUMIF('Serviços'!$B$2:$B$1264,A67,'Serviços'!$I$2:$I$1264)</x:f>
        <x:v>1762.95</x:v>
      </x:c>
      <x:c r="D67" s="21" t="n">
        <x:f>COUNTIF('Pagantes'!$B$2:$B$268,A67)</x:f>
        <x:v>1</x:v>
      </x:c>
      <x:c r="E67" s="21" t="n">
        <x:f>SUMIF('Pagantes'!$B$2:$B$268,A67,'Pagantes'!$D$2:$D$268)</x:f>
        <x:v>1762.95</x:v>
      </x:c>
      <x:c r="F67" s="21" t="n">
        <x:f>SUMIFS('Pagantes'!$D$2:$D$268,'Pagantes'!$B$2:$B$268,A67,'Pagantes'!$E$2:$E$268,"&lt;&gt;Cancelado")</x:f>
        <x:v>1762.95</x:v>
      </x:c>
      <x:c r="G67" s="21" t="n">
        <x:f>E67-F67</x:f>
        <x:v>0</x:v>
      </x:c>
      <x:c r="H67" s="21" t="n">
        <x:f>ROUND(F67-C67,2)</x:f>
        <x:v>0</x:v>
      </x:c>
      <x:c r="I67" s="21" t="n">
        <x:f>ROUND(E67-C67,2)</x:f>
        <x:v>0</x:v>
      </x:c>
      <x:c r="J67" s="17" t="str">
        <x:f>IF(B67=0,"SEM SERVIÇO NA GERAL",IF(D67=0,"SEM PAGANTE NO ARQUIVO",IF(H67=0,"BATE",IF(H67&lt;0,"PAGANTES A MENOS","PAGANTES A MAIS"))))</x:f>
        <x:v>BATE</x:v>
      </x:c>
    </x:row>
    <x:row r="68" ht="15" hidden="0" customHeight="1">
      <x:c r="A68" s="17" t="str">
        <x:v>OP-1081</x:v>
      </x:c>
      <x:c r="B68" s="17" t="n">
        <x:f>COUNTIF('Serviços'!$B$2:$B$1264,A68)</x:f>
        <x:v>4</x:v>
      </x:c>
      <x:c r="C68" s="21" t="n">
        <x:f>SUMIF('Serviços'!$B$2:$B$1264,A68,'Serviços'!$I$2:$I$1264)</x:f>
        <x:v>3573.12</x:v>
      </x:c>
      <x:c r="D68" s="21" t="n">
        <x:f>COUNTIF('Pagantes'!$B$2:$B$268,A68)</x:f>
        <x:v>1</x:v>
      </x:c>
      <x:c r="E68" s="21" t="n">
        <x:f>SUMIF('Pagantes'!$B$2:$B$268,A68,'Pagantes'!$D$2:$D$268)</x:f>
        <x:v>3573.12</x:v>
      </x:c>
      <x:c r="F68" s="21" t="n">
        <x:f>SUMIFS('Pagantes'!$D$2:$D$268,'Pagantes'!$B$2:$B$268,A68,'Pagantes'!$E$2:$E$268,"&lt;&gt;Cancelado")</x:f>
        <x:v>3573.12</x:v>
      </x:c>
      <x:c r="G68" s="21" t="n">
        <x:f>E68-F68</x:f>
        <x:v>0</x:v>
      </x:c>
      <x:c r="H68" s="21" t="n">
        <x:f>ROUND(F68-C68,2)</x:f>
        <x:v>0</x:v>
      </x:c>
      <x:c r="I68" s="21" t="n">
        <x:f>ROUND(E68-C68,2)</x:f>
        <x:v>0</x:v>
      </x:c>
      <x:c r="J68" s="17" t="str">
        <x:f>IF(B68=0,"SEM SERVIÇO NA GERAL",IF(D68=0,"SEM PAGANTE NO ARQUIVO",IF(H68=0,"BATE",IF(H68&lt;0,"PAGANTES A MENOS","PAGANTES A MAIS"))))</x:f>
        <x:v>BATE</x:v>
      </x:c>
    </x:row>
    <x:row r="69" ht="15" hidden="0" customHeight="1">
      <x:c r="A69" s="17" t="str">
        <x:v>OP-1082</x:v>
      </x:c>
      <x:c r="B69" s="17" t="n">
        <x:f>COUNTIF('Serviços'!$B$2:$B$1264,A69)</x:f>
        <x:v>2</x:v>
      </x:c>
      <x:c r="C69" s="21" t="n">
        <x:f>SUMIF('Serviços'!$B$2:$B$1264,A69,'Serviços'!$I$2:$I$1264)</x:f>
        <x:v>874.2</x:v>
      </x:c>
      <x:c r="D69" s="21" t="n">
        <x:f>COUNTIF('Pagantes'!$B$2:$B$268,A69)</x:f>
        <x:v>0</x:v>
      </x:c>
      <x:c r="E69" s="21" t="n">
        <x:f>SUMIF('Pagantes'!$B$2:$B$268,A69,'Pagantes'!$D$2:$D$268)</x:f>
        <x:v>0</x:v>
      </x:c>
      <x:c r="F69" s="21" t="n">
        <x:f>SUMIFS('Pagantes'!$D$2:$D$268,'Pagantes'!$B$2:$B$268,A69,'Pagantes'!$E$2:$E$268,"&lt;&gt;Cancelado")</x:f>
        <x:v>0</x:v>
      </x:c>
      <x:c r="G69" s="21" t="n">
        <x:f>E69-F69</x:f>
        <x:v>0</x:v>
      </x:c>
      <x:c r="H69" s="21" t="n">
        <x:f>ROUND(F69-C69,2)</x:f>
        <x:v>-874.2</x:v>
      </x:c>
      <x:c r="I69" s="21" t="n">
        <x:f>ROUND(E69-C69,2)</x:f>
        <x:v>-874.2</x:v>
      </x:c>
      <x:c r="J69" s="17" t="str">
        <x:f>IF(B69=0,"SEM SERVIÇO NA GERAL",IF(D69=0,"SEM PAGANTE NO ARQUIVO",IF(H69=0,"BATE",IF(H69&lt;0,"PAGANTES A MENOS","PAGANTES A MAIS"))))</x:f>
        <x:v>SEM PAGANTE NO ARQUIVO</x:v>
      </x:c>
    </x:row>
    <x:row r="70" ht="15" hidden="0" customHeight="1">
      <x:c r="A70" s="17" t="str">
        <x:v>OP-1083</x:v>
      </x:c>
      <x:c r="B70" s="17" t="n">
        <x:f>COUNTIF('Serviços'!$B$2:$B$1264,A70)</x:f>
        <x:v>23</x:v>
      </x:c>
      <x:c r="C70" s="21" t="n">
        <x:f>SUMIF('Serviços'!$B$2:$B$1264,A70,'Serviços'!$I$2:$I$1264)</x:f>
        <x:v>11270.5</x:v>
      </x:c>
      <x:c r="D70" s="21" t="n">
        <x:f>COUNTIF('Pagantes'!$B$2:$B$268,A70)</x:f>
        <x:v>0</x:v>
      </x:c>
      <x:c r="E70" s="21" t="n">
        <x:f>SUMIF('Pagantes'!$B$2:$B$268,A70,'Pagantes'!$D$2:$D$268)</x:f>
        <x:v>0</x:v>
      </x:c>
      <x:c r="F70" s="21" t="n">
        <x:f>SUMIFS('Pagantes'!$D$2:$D$268,'Pagantes'!$B$2:$B$268,A70,'Pagantes'!$E$2:$E$268,"&lt;&gt;Cancelado")</x:f>
        <x:v>0</x:v>
      </x:c>
      <x:c r="G70" s="21" t="n">
        <x:f>E70-F70</x:f>
        <x:v>0</x:v>
      </x:c>
      <x:c r="H70" s="21" t="n">
        <x:f>ROUND(F70-C70,2)</x:f>
        <x:v>-11270.5</x:v>
      </x:c>
      <x:c r="I70" s="21" t="n">
        <x:f>ROUND(E70-C70,2)</x:f>
        <x:v>-11270.5</x:v>
      </x:c>
      <x:c r="J70" s="17" t="str">
        <x:f>IF(B70=0,"SEM SERVIÇO NA GERAL",IF(D70=0,"SEM PAGANTE NO ARQUIVO",IF(H70=0,"BATE",IF(H70&lt;0,"PAGANTES A MENOS","PAGANTES A MAIS"))))</x:f>
        <x:v>SEM PAGANTE NO ARQUIVO</x:v>
      </x:c>
    </x:row>
    <x:row r="71" ht="15" hidden="0" customHeight="1">
      <x:c r="A71" s="17" t="str">
        <x:v>OP-1084</x:v>
      </x:c>
      <x:c r="B71" s="17" t="n">
        <x:f>COUNTIF('Serviços'!$B$2:$B$1264,A71)</x:f>
        <x:v>1</x:v>
      </x:c>
      <x:c r="C71" s="21" t="n">
        <x:f>SUMIF('Serviços'!$B$2:$B$1264,A71,'Serviços'!$I$2:$I$1264)</x:f>
        <x:v>442.98</x:v>
      </x:c>
      <x:c r="D71" s="21" t="n">
        <x:f>COUNTIF('Pagantes'!$B$2:$B$268,A71)</x:f>
        <x:v>1</x:v>
      </x:c>
      <x:c r="E71" s="21" t="n">
        <x:f>SUMIF('Pagantes'!$B$2:$B$268,A71,'Pagantes'!$D$2:$D$268)</x:f>
        <x:v>442.98</x:v>
      </x:c>
      <x:c r="F71" s="21" t="n">
        <x:f>SUMIFS('Pagantes'!$D$2:$D$268,'Pagantes'!$B$2:$B$268,A71,'Pagantes'!$E$2:$E$268,"&lt;&gt;Cancelado")</x:f>
        <x:v>442.98</x:v>
      </x:c>
      <x:c r="G71" s="21" t="n">
        <x:f>E71-F71</x:f>
        <x:v>0</x:v>
      </x:c>
      <x:c r="H71" s="21" t="n">
        <x:f>ROUND(F71-C71,2)</x:f>
        <x:v>0</x:v>
      </x:c>
      <x:c r="I71" s="21" t="n">
        <x:f>ROUND(E71-C71,2)</x:f>
        <x:v>0</x:v>
      </x:c>
      <x:c r="J71" s="17" t="str">
        <x:f>IF(B71=0,"SEM SERVIÇO NA GERAL",IF(D71=0,"SEM PAGANTE NO ARQUIVO",IF(H71=0,"BATE",IF(H71&lt;0,"PAGANTES A MENOS","PAGANTES A MAIS"))))</x:f>
        <x:v>BATE</x:v>
      </x:c>
    </x:row>
    <x:row r="72" ht="15" hidden="0" customHeight="1">
      <x:c r="A72" s="17" t="str">
        <x:v>OP-1085</x:v>
      </x:c>
      <x:c r="B72" s="17" t="n">
        <x:f>COUNTIF('Serviços'!$B$2:$B$1264,A72)</x:f>
        <x:v>2</x:v>
      </x:c>
      <x:c r="C72" s="21" t="n">
        <x:f>SUMIF('Serviços'!$B$2:$B$1264,A72,'Serviços'!$I$2:$I$1264)</x:f>
        <x:v>859.1</x:v>
      </x:c>
      <x:c r="D72" s="21" t="n">
        <x:f>COUNTIF('Pagantes'!$B$2:$B$268,A72)</x:f>
        <x:v>1</x:v>
      </x:c>
      <x:c r="E72" s="21" t="n">
        <x:f>SUMIF('Pagantes'!$B$2:$B$268,A72,'Pagantes'!$D$2:$D$268)</x:f>
        <x:v>859.1</x:v>
      </x:c>
      <x:c r="F72" s="21" t="n">
        <x:f>SUMIFS('Pagantes'!$D$2:$D$268,'Pagantes'!$B$2:$B$268,A72,'Pagantes'!$E$2:$E$268,"&lt;&gt;Cancelado")</x:f>
        <x:v>859.1</x:v>
      </x:c>
      <x:c r="G72" s="21" t="n">
        <x:f>E72-F72</x:f>
        <x:v>0</x:v>
      </x:c>
      <x:c r="H72" s="21" t="n">
        <x:f>ROUND(F72-C72,2)</x:f>
        <x:v>0</x:v>
      </x:c>
      <x:c r="I72" s="21" t="n">
        <x:f>ROUND(E72-C72,2)</x:f>
        <x:v>0</x:v>
      </x:c>
      <x:c r="J72" s="17" t="str">
        <x:f>IF(B72=0,"SEM SERVIÇO NA GERAL",IF(D72=0,"SEM PAGANTE NO ARQUIVO",IF(H72=0,"BATE",IF(H72&lt;0,"PAGANTES A MENOS","PAGANTES A MAIS"))))</x:f>
        <x:v>BATE</x:v>
      </x:c>
    </x:row>
    <x:row r="73" ht="15" hidden="0" customHeight="1">
      <x:c r="A73" s="17" t="str">
        <x:v>OP-1087</x:v>
      </x:c>
      <x:c r="B73" s="17" t="n">
        <x:f>COUNTIF('Serviços'!$B$2:$B$1264,A73)</x:f>
        <x:v>4</x:v>
      </x:c>
      <x:c r="C73" s="21" t="n">
        <x:f>SUMIF('Serviços'!$B$2:$B$1264,A73,'Serviços'!$I$2:$I$1264)</x:f>
        <x:v>2071.25</x:v>
      </x:c>
      <x:c r="D73" s="21" t="n">
        <x:f>COUNTIF('Pagantes'!$B$2:$B$268,A73)</x:f>
        <x:v>1</x:v>
      </x:c>
      <x:c r="E73" s="21" t="n">
        <x:f>SUMIF('Pagantes'!$B$2:$B$268,A73,'Pagantes'!$D$2:$D$268)</x:f>
        <x:v>2071.25</x:v>
      </x:c>
      <x:c r="F73" s="21" t="n">
        <x:f>SUMIFS('Pagantes'!$D$2:$D$268,'Pagantes'!$B$2:$B$268,A73,'Pagantes'!$E$2:$E$268,"&lt;&gt;Cancelado")</x:f>
        <x:v>2071.25</x:v>
      </x:c>
      <x:c r="G73" s="21" t="n">
        <x:f>E73-F73</x:f>
        <x:v>0</x:v>
      </x:c>
      <x:c r="H73" s="21" t="n">
        <x:f>ROUND(F73-C73,2)</x:f>
        <x:v>0</x:v>
      </x:c>
      <x:c r="I73" s="21" t="n">
        <x:f>ROUND(E73-C73,2)</x:f>
        <x:v>0</x:v>
      </x:c>
      <x:c r="J73" s="17" t="str">
        <x:f>IF(B73=0,"SEM SERVIÇO NA GERAL",IF(D73=0,"SEM PAGANTE NO ARQUIVO",IF(H73=0,"BATE",IF(H73&lt;0,"PAGANTES A MENOS","PAGANTES A MAIS"))))</x:f>
        <x:v>BATE</x:v>
      </x:c>
    </x:row>
    <x:row r="74" ht="15" hidden="0" customHeight="1">
      <x:c r="A74" s="17" t="str">
        <x:v>OP-1088</x:v>
      </x:c>
      <x:c r="B74" s="17" t="n">
        <x:f>COUNTIF('Serviços'!$B$2:$B$1264,A74)</x:f>
        <x:v>1</x:v>
      </x:c>
      <x:c r="C74" s="21" t="n">
        <x:f>SUMIF('Serviços'!$B$2:$B$1264,A74,'Serviços'!$I$2:$I$1264)</x:f>
        <x:v>615</x:v>
      </x:c>
      <x:c r="D74" s="21" t="n">
        <x:f>COUNTIF('Pagantes'!$B$2:$B$268,A74)</x:f>
        <x:v>1</x:v>
      </x:c>
      <x:c r="E74" s="21" t="n">
        <x:f>SUMIF('Pagantes'!$B$2:$B$268,A74,'Pagantes'!$D$2:$D$268)</x:f>
        <x:v>615</x:v>
      </x:c>
      <x:c r="F74" s="21" t="n">
        <x:f>SUMIFS('Pagantes'!$D$2:$D$268,'Pagantes'!$B$2:$B$268,A74,'Pagantes'!$E$2:$E$268,"&lt;&gt;Cancelado")</x:f>
        <x:v>615</x:v>
      </x:c>
      <x:c r="G74" s="21" t="n">
        <x:f>E74-F74</x:f>
        <x:v>0</x:v>
      </x:c>
      <x:c r="H74" s="21" t="n">
        <x:f>ROUND(F74-C74,2)</x:f>
        <x:v>0</x:v>
      </x:c>
      <x:c r="I74" s="21" t="n">
        <x:f>ROUND(E74-C74,2)</x:f>
        <x:v>0</x:v>
      </x:c>
      <x:c r="J74" s="17" t="str">
        <x:f>IF(B74=0,"SEM SERVIÇO NA GERAL",IF(D74=0,"SEM PAGANTE NO ARQUIVO",IF(H74=0,"BATE",IF(H74&lt;0,"PAGANTES A MENOS","PAGANTES A MAIS"))))</x:f>
        <x:v>BATE</x:v>
      </x:c>
    </x:row>
    <x:row r="75" ht="15" hidden="0" customHeight="1">
      <x:c r="A75" s="17" t="str">
        <x:v>OP-1089</x:v>
      </x:c>
      <x:c r="B75" s="17" t="n">
        <x:f>COUNTIF('Serviços'!$B$2:$B$1264,A75)</x:f>
        <x:v>1</x:v>
      </x:c>
      <x:c r="C75" s="21" t="n">
        <x:f>SUMIF('Serviços'!$B$2:$B$1264,A75,'Serviços'!$I$2:$I$1264)</x:f>
        <x:v>1060.41</x:v>
      </x:c>
      <x:c r="D75" s="21" t="n">
        <x:f>COUNTIF('Pagantes'!$B$2:$B$268,A75)</x:f>
        <x:v>1</x:v>
      </x:c>
      <x:c r="E75" s="21" t="n">
        <x:f>SUMIF('Pagantes'!$B$2:$B$268,A75,'Pagantes'!$D$2:$D$268)</x:f>
        <x:v>1060.41</x:v>
      </x:c>
      <x:c r="F75" s="21" t="n">
        <x:f>SUMIFS('Pagantes'!$D$2:$D$268,'Pagantes'!$B$2:$B$268,A75,'Pagantes'!$E$2:$E$268,"&lt;&gt;Cancelado")</x:f>
        <x:v>1060.41</x:v>
      </x:c>
      <x:c r="G75" s="21" t="n">
        <x:f>E75-F75</x:f>
        <x:v>0</x:v>
      </x:c>
      <x:c r="H75" s="21" t="n">
        <x:f>ROUND(F75-C75,2)</x:f>
        <x:v>0</x:v>
      </x:c>
      <x:c r="I75" s="21" t="n">
        <x:f>ROUND(E75-C75,2)</x:f>
        <x:v>0</x:v>
      </x:c>
      <x:c r="J75" s="17" t="str">
        <x:f>IF(B75=0,"SEM SERVIÇO NA GERAL",IF(D75=0,"SEM PAGANTE NO ARQUIVO",IF(H75=0,"BATE",IF(H75&lt;0,"PAGANTES A MENOS","PAGANTES A MAIS"))))</x:f>
        <x:v>BATE</x:v>
      </x:c>
    </x:row>
    <x:row r="76" ht="15" hidden="0" customHeight="1">
      <x:c r="A76" s="17" t="str">
        <x:v>OP-1090</x:v>
      </x:c>
      <x:c r="B76" s="17" t="n">
        <x:f>COUNTIF('Serviços'!$B$2:$B$1264,A76)</x:f>
        <x:v>1</x:v>
      </x:c>
      <x:c r="C76" s="21" t="n">
        <x:f>SUMIF('Serviços'!$B$2:$B$1264,A76,'Serviços'!$I$2:$I$1264)</x:f>
        <x:v>669.37</x:v>
      </x:c>
      <x:c r="D76" s="21" t="n">
        <x:f>COUNTIF('Pagantes'!$B$2:$B$268,A76)</x:f>
        <x:v>1</x:v>
      </x:c>
      <x:c r="E76" s="21" t="n">
        <x:f>SUMIF('Pagantes'!$B$2:$B$268,A76,'Pagantes'!$D$2:$D$268)</x:f>
        <x:v>669.37</x:v>
      </x:c>
      <x:c r="F76" s="21" t="n">
        <x:f>SUMIFS('Pagantes'!$D$2:$D$268,'Pagantes'!$B$2:$B$268,A76,'Pagantes'!$E$2:$E$268,"&lt;&gt;Cancelado")</x:f>
        <x:v>669.37</x:v>
      </x:c>
      <x:c r="G76" s="21" t="n">
        <x:f>E76-F76</x:f>
        <x:v>0</x:v>
      </x:c>
      <x:c r="H76" s="21" t="n">
        <x:f>ROUND(F76-C76,2)</x:f>
        <x:v>0</x:v>
      </x:c>
      <x:c r="I76" s="21" t="n">
        <x:f>ROUND(E76-C76,2)</x:f>
        <x:v>0</x:v>
      </x:c>
      <x:c r="J76" s="17" t="str">
        <x:f>IF(B76=0,"SEM SERVIÇO NA GERAL",IF(D76=0,"SEM PAGANTE NO ARQUIVO",IF(H76=0,"BATE",IF(H76&lt;0,"PAGANTES A MENOS","PAGANTES A MAIS"))))</x:f>
        <x:v>BATE</x:v>
      </x:c>
    </x:row>
    <x:row r="77" ht="15" hidden="0" customHeight="1">
      <x:c r="A77" s="17" t="str">
        <x:v>OP-1091</x:v>
      </x:c>
      <x:c r="B77" s="17" t="n">
        <x:f>COUNTIF('Serviços'!$B$2:$B$1264,A77)</x:f>
        <x:v>14</x:v>
      </x:c>
      <x:c r="C77" s="21" t="n">
        <x:f>SUMIF('Serviços'!$B$2:$B$1264,A77,'Serviços'!$I$2:$I$1264)</x:f>
        <x:v>8182.199999999999</x:v>
      </x:c>
      <x:c r="D77" s="21" t="n">
        <x:f>COUNTIF('Pagantes'!$B$2:$B$268,A77)</x:f>
        <x:v>0</x:v>
      </x:c>
      <x:c r="E77" s="21" t="n">
        <x:f>SUMIF('Pagantes'!$B$2:$B$268,A77,'Pagantes'!$D$2:$D$268)</x:f>
        <x:v>0</x:v>
      </x:c>
      <x:c r="F77" s="21" t="n">
        <x:f>SUMIFS('Pagantes'!$D$2:$D$268,'Pagantes'!$B$2:$B$268,A77,'Pagantes'!$E$2:$E$268,"&lt;&gt;Cancelado")</x:f>
        <x:v>0</x:v>
      </x:c>
      <x:c r="G77" s="21" t="n">
        <x:f>E77-F77</x:f>
        <x:v>0</x:v>
      </x:c>
      <x:c r="H77" s="21" t="n">
        <x:f>ROUND(F77-C77,2)</x:f>
        <x:v>-8182.2</x:v>
      </x:c>
      <x:c r="I77" s="21" t="n">
        <x:f>ROUND(E77-C77,2)</x:f>
        <x:v>-8182.2</x:v>
      </x:c>
      <x:c r="J77" s="17" t="str">
        <x:f>IF(B77=0,"SEM SERVIÇO NA GERAL",IF(D77=0,"SEM PAGANTE NO ARQUIVO",IF(H77=0,"BATE",IF(H77&lt;0,"PAGANTES A MENOS","PAGANTES A MAIS"))))</x:f>
        <x:v>SEM PAGANTE NO ARQUIVO</x:v>
      </x:c>
    </x:row>
    <x:row r="78" ht="15" hidden="0" customHeight="1">
      <x:c r="A78" s="17" t="str">
        <x:v>OP-1092</x:v>
      </x:c>
      <x:c r="B78" s="17" t="n">
        <x:f>COUNTIF('Serviços'!$B$2:$B$1264,A78)</x:f>
        <x:v>41</x:v>
      </x:c>
      <x:c r="C78" s="21" t="n">
        <x:f>SUMIF('Serviços'!$B$2:$B$1264,A78,'Serviços'!$I$2:$I$1264)</x:f>
        <x:v>39111.32000000001</x:v>
      </x:c>
      <x:c r="D78" s="21" t="n">
        <x:f>COUNTIF('Pagantes'!$B$2:$B$268,A78)</x:f>
        <x:v>0</x:v>
      </x:c>
      <x:c r="E78" s="21" t="n">
        <x:f>SUMIF('Pagantes'!$B$2:$B$268,A78,'Pagantes'!$D$2:$D$268)</x:f>
        <x:v>0</x:v>
      </x:c>
      <x:c r="F78" s="21" t="n">
        <x:f>SUMIFS('Pagantes'!$D$2:$D$268,'Pagantes'!$B$2:$B$268,A78,'Pagantes'!$E$2:$E$268,"&lt;&gt;Cancelado")</x:f>
        <x:v>0</x:v>
      </x:c>
      <x:c r="G78" s="21" t="n">
        <x:f>E78-F78</x:f>
        <x:v>0</x:v>
      </x:c>
      <x:c r="H78" s="21" t="n">
        <x:f>ROUND(F78-C78,2)</x:f>
        <x:v>-39111.32</x:v>
      </x:c>
      <x:c r="I78" s="21" t="n">
        <x:f>ROUND(E78-C78,2)</x:f>
        <x:v>-39111.32</x:v>
      </x:c>
      <x:c r="J78" s="17" t="str">
        <x:f>IF(B78=0,"SEM SERVIÇO NA GERAL",IF(D78=0,"SEM PAGANTE NO ARQUIVO",IF(H78=0,"BATE",IF(H78&lt;0,"PAGANTES A MENOS","PAGANTES A MAIS"))))</x:f>
        <x:v>SEM PAGANTE NO ARQUIVO</x:v>
      </x:c>
    </x:row>
    <x:row r="79" ht="15" hidden="0" customHeight="1">
      <x:c r="A79" s="17" t="str">
        <x:v>OP-1093</x:v>
      </x:c>
      <x:c r="B79" s="17" t="n">
        <x:f>COUNTIF('Serviços'!$B$2:$B$1264,A79)</x:f>
        <x:v>2</x:v>
      </x:c>
      <x:c r="C79" s="21" t="n">
        <x:f>SUMIF('Serviços'!$B$2:$B$1264,A79,'Serviços'!$I$2:$I$1264)</x:f>
        <x:v>859.1</x:v>
      </x:c>
      <x:c r="D79" s="21" t="n">
        <x:f>COUNTIF('Pagantes'!$B$2:$B$268,A79)</x:f>
        <x:v>1</x:v>
      </x:c>
      <x:c r="E79" s="21" t="n">
        <x:f>SUMIF('Pagantes'!$B$2:$B$268,A79,'Pagantes'!$D$2:$D$268)</x:f>
        <x:v>859.1</x:v>
      </x:c>
      <x:c r="F79" s="21" t="n">
        <x:f>SUMIFS('Pagantes'!$D$2:$D$268,'Pagantes'!$B$2:$B$268,A79,'Pagantes'!$E$2:$E$268,"&lt;&gt;Cancelado")</x:f>
        <x:v>859.1</x:v>
      </x:c>
      <x:c r="G79" s="21" t="n">
        <x:f>E79-F79</x:f>
        <x:v>0</x:v>
      </x:c>
      <x:c r="H79" s="21" t="n">
        <x:f>ROUND(F79-C79,2)</x:f>
        <x:v>0</x:v>
      </x:c>
      <x:c r="I79" s="21" t="n">
        <x:f>ROUND(E79-C79,2)</x:f>
        <x:v>0</x:v>
      </x:c>
      <x:c r="J79" s="17" t="str">
        <x:f>IF(B79=0,"SEM SERVIÇO NA GERAL",IF(D79=0,"SEM PAGANTE NO ARQUIVO",IF(H79=0,"BATE",IF(H79&lt;0,"PAGANTES A MENOS","PAGANTES A MAIS"))))</x:f>
        <x:v>BATE</x:v>
      </x:c>
    </x:row>
    <x:row r="80" ht="15" hidden="0" customHeight="1">
      <x:c r="A80" s="17" t="str">
        <x:v>OP-1094</x:v>
      </x:c>
      <x:c r="B80" s="17" t="n">
        <x:f>COUNTIF('Serviços'!$B$2:$B$1264,A80)</x:f>
        <x:v>2</x:v>
      </x:c>
      <x:c r="C80" s="21" t="n">
        <x:f>SUMIF('Serviços'!$B$2:$B$1264,A80,'Serviços'!$I$2:$I$1264)</x:f>
        <x:v>859.1</x:v>
      </x:c>
      <x:c r="D80" s="21" t="n">
        <x:f>COUNTIF('Pagantes'!$B$2:$B$268,A80)</x:f>
        <x:v>1</x:v>
      </x:c>
      <x:c r="E80" s="21" t="n">
        <x:f>SUMIF('Pagantes'!$B$2:$B$268,A80,'Pagantes'!$D$2:$D$268)</x:f>
        <x:v>859.1</x:v>
      </x:c>
      <x:c r="F80" s="21" t="n">
        <x:f>SUMIFS('Pagantes'!$D$2:$D$268,'Pagantes'!$B$2:$B$268,A80,'Pagantes'!$E$2:$E$268,"&lt;&gt;Cancelado")</x:f>
        <x:v>859.1</x:v>
      </x:c>
      <x:c r="G80" s="21" t="n">
        <x:f>E80-F80</x:f>
        <x:v>0</x:v>
      </x:c>
      <x:c r="H80" s="21" t="n">
        <x:f>ROUND(F80-C80,2)</x:f>
        <x:v>0</x:v>
      </x:c>
      <x:c r="I80" s="21" t="n">
        <x:f>ROUND(E80-C80,2)</x:f>
        <x:v>0</x:v>
      </x:c>
      <x:c r="J80" s="17" t="str">
        <x:f>IF(B80=0,"SEM SERVIÇO NA GERAL",IF(D80=0,"SEM PAGANTE NO ARQUIVO",IF(H80=0,"BATE",IF(H80&lt;0,"PAGANTES A MENOS","PAGANTES A MAIS"))))</x:f>
        <x:v>BATE</x:v>
      </x:c>
    </x:row>
    <x:row r="81" ht="15" hidden="0" customHeight="1">
      <x:c r="A81" s="17" t="str">
        <x:v>OP-1095</x:v>
      </x:c>
      <x:c r="B81" s="17" t="n">
        <x:f>COUNTIF('Serviços'!$B$2:$B$1264,A81)</x:f>
        <x:v>2</x:v>
      </x:c>
      <x:c r="C81" s="21" t="n">
        <x:f>SUMIF('Serviços'!$B$2:$B$1264,A81,'Serviços'!$I$2:$I$1264)</x:f>
        <x:v>1163.66</x:v>
      </x:c>
      <x:c r="D81" s="21" t="n">
        <x:f>COUNTIF('Pagantes'!$B$2:$B$268,A81)</x:f>
        <x:v>1</x:v>
      </x:c>
      <x:c r="E81" s="21" t="n">
        <x:f>SUMIF('Pagantes'!$B$2:$B$268,A81,'Pagantes'!$D$2:$D$268)</x:f>
        <x:v>1163.66</x:v>
      </x:c>
      <x:c r="F81" s="21" t="n">
        <x:f>SUMIFS('Pagantes'!$D$2:$D$268,'Pagantes'!$B$2:$B$268,A81,'Pagantes'!$E$2:$E$268,"&lt;&gt;Cancelado")</x:f>
        <x:v>1163.66</x:v>
      </x:c>
      <x:c r="G81" s="21" t="n">
        <x:f>E81-F81</x:f>
        <x:v>0</x:v>
      </x:c>
      <x:c r="H81" s="21" t="n">
        <x:f>ROUND(F81-C81,2)</x:f>
        <x:v>0</x:v>
      </x:c>
      <x:c r="I81" s="21" t="n">
        <x:f>ROUND(E81-C81,2)</x:f>
        <x:v>0</x:v>
      </x:c>
      <x:c r="J81" s="17" t="str">
        <x:f>IF(B81=0,"SEM SERVIÇO NA GERAL",IF(D81=0,"SEM PAGANTE NO ARQUIVO",IF(H81=0,"BATE",IF(H81&lt;0,"PAGANTES A MENOS","PAGANTES A MAIS"))))</x:f>
        <x:v>BATE</x:v>
      </x:c>
    </x:row>
    <x:row r="82" ht="15" hidden="0" customHeight="1">
      <x:c r="A82" s="17" t="str">
        <x:v>OP-1096</x:v>
      </x:c>
      <x:c r="B82" s="17" t="n">
        <x:f>COUNTIF('Serviços'!$B$2:$B$1264,A82)</x:f>
        <x:v>2</x:v>
      </x:c>
      <x:c r="C82" s="21" t="n">
        <x:f>SUMIF('Serviços'!$B$2:$B$1264,A82,'Serviços'!$I$2:$I$1264)</x:f>
        <x:v>958.94</x:v>
      </x:c>
      <x:c r="D82" s="21" t="n">
        <x:f>COUNTIF('Pagantes'!$B$2:$B$268,A82)</x:f>
        <x:v>1</x:v>
      </x:c>
      <x:c r="E82" s="21" t="n">
        <x:f>SUMIF('Pagantes'!$B$2:$B$268,A82,'Pagantes'!$D$2:$D$268)</x:f>
        <x:v>958.94</x:v>
      </x:c>
      <x:c r="F82" s="21" t="n">
        <x:f>SUMIFS('Pagantes'!$D$2:$D$268,'Pagantes'!$B$2:$B$268,A82,'Pagantes'!$E$2:$E$268,"&lt;&gt;Cancelado")</x:f>
        <x:v>958.94</x:v>
      </x:c>
      <x:c r="G82" s="21" t="n">
        <x:f>E82-F82</x:f>
        <x:v>0</x:v>
      </x:c>
      <x:c r="H82" s="21" t="n">
        <x:f>ROUND(F82-C82,2)</x:f>
        <x:v>0</x:v>
      </x:c>
      <x:c r="I82" s="21" t="n">
        <x:f>ROUND(E82-C82,2)</x:f>
        <x:v>0</x:v>
      </x:c>
      <x:c r="J82" s="17" t="str">
        <x:f>IF(B82=0,"SEM SERVIÇO NA GERAL",IF(D82=0,"SEM PAGANTE NO ARQUIVO",IF(H82=0,"BATE",IF(H82&lt;0,"PAGANTES A MENOS","PAGANTES A MAIS"))))</x:f>
        <x:v>BATE</x:v>
      </x:c>
    </x:row>
    <x:row r="83" ht="15" hidden="0" customHeight="1">
      <x:c r="A83" s="17" t="str">
        <x:v>OP-1097</x:v>
      </x:c>
      <x:c r="B83" s="17" t="n">
        <x:f>COUNTIF('Serviços'!$B$2:$B$1264,A83)</x:f>
        <x:v>2</x:v>
      </x:c>
      <x:c r="C83" s="21" t="n">
        <x:f>SUMIF('Serviços'!$B$2:$B$1264,A83,'Serviços'!$I$2:$I$1264)</x:f>
        <x:v>1050.72</x:v>
      </x:c>
      <x:c r="D83" s="21" t="n">
        <x:f>COUNTIF('Pagantes'!$B$2:$B$268,A83)</x:f>
        <x:v>1</x:v>
      </x:c>
      <x:c r="E83" s="21" t="n">
        <x:f>SUMIF('Pagantes'!$B$2:$B$268,A83,'Pagantes'!$D$2:$D$268)</x:f>
        <x:v>1050.72</x:v>
      </x:c>
      <x:c r="F83" s="21" t="n">
        <x:f>SUMIFS('Pagantes'!$D$2:$D$268,'Pagantes'!$B$2:$B$268,A83,'Pagantes'!$E$2:$E$268,"&lt;&gt;Cancelado")</x:f>
        <x:v>1050.72</x:v>
      </x:c>
      <x:c r="G83" s="21" t="n">
        <x:f>E83-F83</x:f>
        <x:v>0</x:v>
      </x:c>
      <x:c r="H83" s="21" t="n">
        <x:f>ROUND(F83-C83,2)</x:f>
        <x:v>0</x:v>
      </x:c>
      <x:c r="I83" s="21" t="n">
        <x:f>ROUND(E83-C83,2)</x:f>
        <x:v>0</x:v>
      </x:c>
      <x:c r="J83" s="17" t="str">
        <x:f>IF(B83=0,"SEM SERVIÇO NA GERAL",IF(D83=0,"SEM PAGANTE NO ARQUIVO",IF(H83=0,"BATE",IF(H83&lt;0,"PAGANTES A MENOS","PAGANTES A MAIS"))))</x:f>
        <x:v>BATE</x:v>
      </x:c>
    </x:row>
    <x:row r="84" ht="15" hidden="0" customHeight="1">
      <x:c r="A84" s="17" t="str">
        <x:v>OP-1098</x:v>
      </x:c>
      <x:c r="B84" s="17" t="n">
        <x:f>COUNTIF('Serviços'!$B$2:$B$1264,A84)</x:f>
        <x:v>5</x:v>
      </x:c>
      <x:c r="C84" s="21" t="n">
        <x:f>SUMIF('Serviços'!$B$2:$B$1264,A84,'Serviços'!$I$2:$I$1264)</x:f>
        <x:v>2176.68</x:v>
      </x:c>
      <x:c r="D84" s="21" t="n">
        <x:f>COUNTIF('Pagantes'!$B$2:$B$268,A84)</x:f>
        <x:v>0</x:v>
      </x:c>
      <x:c r="E84" s="21" t="n">
        <x:f>SUMIF('Pagantes'!$B$2:$B$268,A84,'Pagantes'!$D$2:$D$268)</x:f>
        <x:v>0</x:v>
      </x:c>
      <x:c r="F84" s="21" t="n">
        <x:f>SUMIFS('Pagantes'!$D$2:$D$268,'Pagantes'!$B$2:$B$268,A84,'Pagantes'!$E$2:$E$268,"&lt;&gt;Cancelado")</x:f>
        <x:v>0</x:v>
      </x:c>
      <x:c r="G84" s="21" t="n">
        <x:f>E84-F84</x:f>
        <x:v>0</x:v>
      </x:c>
      <x:c r="H84" s="21" t="n">
        <x:f>ROUND(F84-C84,2)</x:f>
        <x:v>-2176.68</x:v>
      </x:c>
      <x:c r="I84" s="21" t="n">
        <x:f>ROUND(E84-C84,2)</x:f>
        <x:v>-2176.68</x:v>
      </x:c>
      <x:c r="J84" s="17" t="str">
        <x:f>IF(B84=0,"SEM SERVIÇO NA GERAL",IF(D84=0,"SEM PAGANTE NO ARQUIVO",IF(H84=0,"BATE",IF(H84&lt;0,"PAGANTES A MENOS","PAGANTES A MAIS"))))</x:f>
        <x:v>SEM PAGANTE NO ARQUIVO</x:v>
      </x:c>
    </x:row>
    <x:row r="85" ht="15" hidden="0" customHeight="1">
      <x:c r="A85" s="17" t="str">
        <x:v>OP-1099</x:v>
      </x:c>
      <x:c r="B85" s="17" t="n">
        <x:f>COUNTIF('Serviços'!$B$2:$B$1264,A85)</x:f>
        <x:v>11</x:v>
      </x:c>
      <x:c r="C85" s="21" t="n">
        <x:f>SUMIF('Serviços'!$B$2:$B$1264,A85,'Serviços'!$I$2:$I$1264)</x:f>
        <x:v>13508.300000000001</x:v>
      </x:c>
      <x:c r="D85" s="21" t="n">
        <x:f>COUNTIF('Pagantes'!$B$2:$B$268,A85)</x:f>
        <x:v>1</x:v>
      </x:c>
      <x:c r="E85" s="21" t="n">
        <x:f>SUMIF('Pagantes'!$B$2:$B$268,A85,'Pagantes'!$D$2:$D$268)</x:f>
        <x:v>13508.3</x:v>
      </x:c>
      <x:c r="F85" s="21" t="n">
        <x:f>SUMIFS('Pagantes'!$D$2:$D$268,'Pagantes'!$B$2:$B$268,A85,'Pagantes'!$E$2:$E$268,"&lt;&gt;Cancelado")</x:f>
        <x:v>13508.3</x:v>
      </x:c>
      <x:c r="G85" s="21" t="n">
        <x:f>E85-F85</x:f>
        <x:v>0</x:v>
      </x:c>
      <x:c r="H85" s="21" t="n">
        <x:f>ROUND(F85-C85,2)</x:f>
        <x:v>0</x:v>
      </x:c>
      <x:c r="I85" s="21" t="n">
        <x:f>ROUND(E85-C85,2)</x:f>
        <x:v>0</x:v>
      </x:c>
      <x:c r="J85" s="17" t="str">
        <x:f>IF(B85=0,"SEM SERVIÇO NA GERAL",IF(D85=0,"SEM PAGANTE NO ARQUIVO",IF(H85=0,"BATE",IF(H85&lt;0,"PAGANTES A MENOS","PAGANTES A MAIS"))))</x:f>
        <x:v>BATE</x:v>
      </x:c>
    </x:row>
    <x:row r="86" ht="15" hidden="0" customHeight="1">
      <x:c r="A86" s="17" t="str">
        <x:v>OP-1100</x:v>
      </x:c>
      <x:c r="B86" s="17" t="n">
        <x:f>COUNTIF('Serviços'!$B$2:$B$1264,A86)</x:f>
        <x:v>10</x:v>
      </x:c>
      <x:c r="C86" s="21" t="n">
        <x:f>SUMIF('Serviços'!$B$2:$B$1264,A86,'Serviços'!$I$2:$I$1264)</x:f>
        <x:v>16446.82</x:v>
      </x:c>
      <x:c r="D86" s="21" t="n">
        <x:f>COUNTIF('Pagantes'!$B$2:$B$268,A86)</x:f>
        <x:v>1</x:v>
      </x:c>
      <x:c r="E86" s="21" t="n">
        <x:f>SUMIF('Pagantes'!$B$2:$B$268,A86,'Pagantes'!$D$2:$D$268)</x:f>
        <x:v>16446.82</x:v>
      </x:c>
      <x:c r="F86" s="21" t="n">
        <x:f>SUMIFS('Pagantes'!$D$2:$D$268,'Pagantes'!$B$2:$B$268,A86,'Pagantes'!$E$2:$E$268,"&lt;&gt;Cancelado")</x:f>
        <x:v>16446.82</x:v>
      </x:c>
      <x:c r="G86" s="21" t="n">
        <x:f>E86-F86</x:f>
        <x:v>0</x:v>
      </x:c>
      <x:c r="H86" s="21" t="n">
        <x:f>ROUND(F86-C86,2)</x:f>
        <x:v>0</x:v>
      </x:c>
      <x:c r="I86" s="21" t="n">
        <x:f>ROUND(E86-C86,2)</x:f>
        <x:v>0</x:v>
      </x:c>
      <x:c r="J86" s="17" t="str">
        <x:f>IF(B86=0,"SEM SERVIÇO NA GERAL",IF(D86=0,"SEM PAGANTE NO ARQUIVO",IF(H86=0,"BATE",IF(H86&lt;0,"PAGANTES A MENOS","PAGANTES A MAIS"))))</x:f>
        <x:v>BATE</x:v>
      </x:c>
    </x:row>
    <x:row r="87" ht="15" hidden="0" customHeight="1">
      <x:c r="A87" s="17" t="str">
        <x:v>OP-1101</x:v>
      </x:c>
      <x:c r="B87" s="17" t="n">
        <x:f>COUNTIF('Serviços'!$B$2:$B$1264,A87)</x:f>
        <x:v>2</x:v>
      </x:c>
      <x:c r="C87" s="21" t="n">
        <x:f>SUMIF('Serviços'!$B$2:$B$1264,A87,'Serviços'!$I$2:$I$1264)</x:f>
        <x:v>925</x:v>
      </x:c>
      <x:c r="D87" s="21" t="n">
        <x:f>COUNTIF('Pagantes'!$B$2:$B$268,A87)</x:f>
        <x:v>1</x:v>
      </x:c>
      <x:c r="E87" s="21" t="n">
        <x:f>SUMIF('Pagantes'!$B$2:$B$268,A87,'Pagantes'!$D$2:$D$268)</x:f>
        <x:v>925</x:v>
      </x:c>
      <x:c r="F87" s="21" t="n">
        <x:f>SUMIFS('Pagantes'!$D$2:$D$268,'Pagantes'!$B$2:$B$268,A87,'Pagantes'!$E$2:$E$268,"&lt;&gt;Cancelado")</x:f>
        <x:v>925</x:v>
      </x:c>
      <x:c r="G87" s="21" t="n">
        <x:f>E87-F87</x:f>
        <x:v>0</x:v>
      </x:c>
      <x:c r="H87" s="21" t="n">
        <x:f>ROUND(F87-C87,2)</x:f>
        <x:v>0</x:v>
      </x:c>
      <x:c r="I87" s="21" t="n">
        <x:f>ROUND(E87-C87,2)</x:f>
        <x:v>0</x:v>
      </x:c>
      <x:c r="J87" s="17" t="str">
        <x:f>IF(B87=0,"SEM SERVIÇO NA GERAL",IF(D87=0,"SEM PAGANTE NO ARQUIVO",IF(H87=0,"BATE",IF(H87&lt;0,"PAGANTES A MENOS","PAGANTES A MAIS"))))</x:f>
        <x:v>BATE</x:v>
      </x:c>
    </x:row>
    <x:row r="88" ht="15" hidden="0" customHeight="1">
      <x:c r="A88" s="17" t="str">
        <x:v>OP-1102</x:v>
      </x:c>
      <x:c r="B88" s="17" t="n">
        <x:f>COUNTIF('Serviços'!$B$2:$B$1264,A88)</x:f>
        <x:v>12</x:v>
      </x:c>
      <x:c r="C88" s="21" t="n">
        <x:f>SUMIF('Serviços'!$B$2:$B$1264,A88,'Serviços'!$I$2:$I$1264)</x:f>
        <x:v>2530.7999999999997</x:v>
      </x:c>
      <x:c r="D88" s="21" t="n">
        <x:f>COUNTIF('Pagantes'!$B$2:$B$268,A88)</x:f>
        <x:v>1</x:v>
      </x:c>
      <x:c r="E88" s="21" t="n">
        <x:f>SUMIF('Pagantes'!$B$2:$B$268,A88,'Pagantes'!$D$2:$D$268)</x:f>
        <x:v>2530.8</x:v>
      </x:c>
      <x:c r="F88" s="21" t="n">
        <x:f>SUMIFS('Pagantes'!$D$2:$D$268,'Pagantes'!$B$2:$B$268,A88,'Pagantes'!$E$2:$E$268,"&lt;&gt;Cancelado")</x:f>
        <x:v>2530.8</x:v>
      </x:c>
      <x:c r="G88" s="21" t="n">
        <x:f>E88-F88</x:f>
        <x:v>0</x:v>
      </x:c>
      <x:c r="H88" s="21" t="n">
        <x:f>ROUND(F88-C88,2)</x:f>
        <x:v>0</x:v>
      </x:c>
      <x:c r="I88" s="21" t="n">
        <x:f>ROUND(E88-C88,2)</x:f>
        <x:v>0</x:v>
      </x:c>
      <x:c r="J88" s="17" t="str">
        <x:f>IF(B88=0,"SEM SERVIÇO NA GERAL",IF(D88=0,"SEM PAGANTE NO ARQUIVO",IF(H88=0,"BATE",IF(H88&lt;0,"PAGANTES A MENOS","PAGANTES A MAIS"))))</x:f>
        <x:v>BATE</x:v>
      </x:c>
    </x:row>
    <x:row r="89" ht="15" hidden="0" customHeight="1">
      <x:c r="A89" s="17" t="str">
        <x:v>OP-1103</x:v>
      </x:c>
      <x:c r="B89" s="17" t="n">
        <x:f>COUNTIF('Serviços'!$B$2:$B$1264,A89)</x:f>
        <x:v>14</x:v>
      </x:c>
      <x:c r="C89" s="21" t="n">
        <x:f>SUMIF('Serviços'!$B$2:$B$1264,A89,'Serviços'!$I$2:$I$1264)</x:f>
        <x:v>3908.7800000000016</x:v>
      </x:c>
      <x:c r="D89" s="21" t="n">
        <x:f>COUNTIF('Pagantes'!$B$2:$B$268,A89)</x:f>
        <x:v>1</x:v>
      </x:c>
      <x:c r="E89" s="21" t="n">
        <x:f>SUMIF('Pagantes'!$B$2:$B$268,A89,'Pagantes'!$D$2:$D$268)</x:f>
        <x:v>3171.99</x:v>
      </x:c>
      <x:c r="F89" s="21" t="n">
        <x:f>SUMIFS('Pagantes'!$D$2:$D$268,'Pagantes'!$B$2:$B$268,A89,'Pagantes'!$E$2:$E$268,"&lt;&gt;Cancelado")</x:f>
        <x:v>3171.99</x:v>
      </x:c>
      <x:c r="G89" s="21" t="n">
        <x:f>E89-F89</x:f>
        <x:v>0</x:v>
      </x:c>
      <x:c r="H89" s="21" t="n">
        <x:f>ROUND(F89-C89,2)</x:f>
        <x:v>-736.79</x:v>
      </x:c>
      <x:c r="I89" s="21" t="n">
        <x:f>ROUND(E89-C89,2)</x:f>
        <x:v>-736.79</x:v>
      </x:c>
      <x:c r="J89" s="17" t="str">
        <x:f>IF(B89=0,"SEM SERVIÇO NA GERAL",IF(D89=0,"SEM PAGANTE NO ARQUIVO",IF(H89=0,"BATE",IF(H89&lt;0,"PAGANTES A MENOS","PAGANTES A MAIS"))))</x:f>
        <x:v>PAGANTES A MENOS</x:v>
      </x:c>
    </x:row>
    <x:row r="90" ht="15" hidden="0" customHeight="1">
      <x:c r="A90" s="17" t="str">
        <x:v>OP-1104</x:v>
      </x:c>
      <x:c r="B90" s="17" t="n">
        <x:f>COUNTIF('Serviços'!$B$2:$B$1264,A90)</x:f>
        <x:v>13</x:v>
      </x:c>
      <x:c r="C90" s="21" t="n">
        <x:f>SUMIF('Serviços'!$B$2:$B$1264,A90,'Serviços'!$I$2:$I$1264)</x:f>
        <x:v>2435.29</x:v>
      </x:c>
      <x:c r="D90" s="21" t="n">
        <x:f>COUNTIF('Pagantes'!$B$2:$B$268,A90)</x:f>
        <x:v>3</x:v>
      </x:c>
      <x:c r="E90" s="21" t="n">
        <x:f>SUMIF('Pagantes'!$B$2:$B$268,A90,'Pagantes'!$D$2:$D$268)</x:f>
        <x:v>2435.2799999999997</x:v>
      </x:c>
      <x:c r="F90" s="21" t="n">
        <x:f>SUMIFS('Pagantes'!$D$2:$D$268,'Pagantes'!$B$2:$B$268,A90,'Pagantes'!$E$2:$E$268,"&lt;&gt;Cancelado")</x:f>
        <x:v>2435.2799999999997</x:v>
      </x:c>
      <x:c r="G90" s="21" t="n">
        <x:f>E90-F90</x:f>
        <x:v>0</x:v>
      </x:c>
      <x:c r="H90" s="21" t="n">
        <x:f>ROUND(F90-C90,2)</x:f>
        <x:v>-0.01</x:v>
      </x:c>
      <x:c r="I90" s="21" t="n">
        <x:f>ROUND(E90-C90,2)</x:f>
        <x:v>-0.01</x:v>
      </x:c>
      <x:c r="J90" s="17" t="str">
        <x:f>IF(B90=0,"SEM SERVIÇO NA GERAL",IF(D90=0,"SEM PAGANTE NO ARQUIVO",IF(H90=0,"BATE",IF(H90&lt;0,"PAGANTES A MENOS","PAGANTES A MAIS"))))</x:f>
        <x:v>PAGANTES A MENOS</x:v>
      </x:c>
    </x:row>
    <x:row r="91" ht="15" hidden="0" customHeight="1">
      <x:c r="A91" s="17" t="str">
        <x:v>OP-1105</x:v>
      </x:c>
      <x:c r="B91" s="17" t="n">
        <x:f>COUNTIF('Serviços'!$B$2:$B$1264,A91)</x:f>
        <x:v>2</x:v>
      </x:c>
      <x:c r="C91" s="21" t="n">
        <x:f>SUMIF('Serviços'!$B$2:$B$1264,A91,'Serviços'!$I$2:$I$1264)</x:f>
        <x:v>925</x:v>
      </x:c>
      <x:c r="D91" s="21" t="n">
        <x:f>COUNTIF('Pagantes'!$B$2:$B$268,A91)</x:f>
        <x:v>1</x:v>
      </x:c>
      <x:c r="E91" s="21" t="n">
        <x:f>SUMIF('Pagantes'!$B$2:$B$268,A91,'Pagantes'!$D$2:$D$268)</x:f>
        <x:v>925</x:v>
      </x:c>
      <x:c r="F91" s="21" t="n">
        <x:f>SUMIFS('Pagantes'!$D$2:$D$268,'Pagantes'!$B$2:$B$268,A91,'Pagantes'!$E$2:$E$268,"&lt;&gt;Cancelado")</x:f>
        <x:v>925</x:v>
      </x:c>
      <x:c r="G91" s="21" t="n">
        <x:f>E91-F91</x:f>
        <x:v>0</x:v>
      </x:c>
      <x:c r="H91" s="21" t="n">
        <x:f>ROUND(F91-C91,2)</x:f>
        <x:v>0</x:v>
      </x:c>
      <x:c r="I91" s="21" t="n">
        <x:f>ROUND(E91-C91,2)</x:f>
        <x:v>0</x:v>
      </x:c>
      <x:c r="J91" s="17" t="str">
        <x:f>IF(B91=0,"SEM SERVIÇO NA GERAL",IF(D91=0,"SEM PAGANTE NO ARQUIVO",IF(H91=0,"BATE",IF(H91&lt;0,"PAGANTES A MENOS","PAGANTES A MAIS"))))</x:f>
        <x:v>BATE</x:v>
      </x:c>
    </x:row>
    <x:row r="92" ht="15" hidden="0" customHeight="1">
      <x:c r="A92" s="17" t="str">
        <x:v>OP-1106</x:v>
      </x:c>
      <x:c r="B92" s="17" t="n">
        <x:f>COUNTIF('Serviços'!$B$2:$B$1264,A92)</x:f>
        <x:v>3</x:v>
      </x:c>
      <x:c r="C92" s="21" t="n">
        <x:f>SUMIF('Serviços'!$B$2:$B$1264,A92,'Serviços'!$I$2:$I$1264)</x:f>
        <x:v>2287.26</x:v>
      </x:c>
      <x:c r="D92" s="21" t="n">
        <x:f>COUNTIF('Pagantes'!$B$2:$B$268,A92)</x:f>
        <x:v>0</x:v>
      </x:c>
      <x:c r="E92" s="21" t="n">
        <x:f>SUMIF('Pagantes'!$B$2:$B$268,A92,'Pagantes'!$D$2:$D$268)</x:f>
        <x:v>0</x:v>
      </x:c>
      <x:c r="F92" s="21" t="n">
        <x:f>SUMIFS('Pagantes'!$D$2:$D$268,'Pagantes'!$B$2:$B$268,A92,'Pagantes'!$E$2:$E$268,"&lt;&gt;Cancelado")</x:f>
        <x:v>0</x:v>
      </x:c>
      <x:c r="G92" s="21" t="n">
        <x:f>E92-F92</x:f>
        <x:v>0</x:v>
      </x:c>
      <x:c r="H92" s="21" t="n">
        <x:f>ROUND(F92-C92,2)</x:f>
        <x:v>-2287.26</x:v>
      </x:c>
      <x:c r="I92" s="21" t="n">
        <x:f>ROUND(E92-C92,2)</x:f>
        <x:v>-2287.26</x:v>
      </x:c>
      <x:c r="J92" s="17" t="str">
        <x:f>IF(B92=0,"SEM SERVIÇO NA GERAL",IF(D92=0,"SEM PAGANTE NO ARQUIVO",IF(H92=0,"BATE",IF(H92&lt;0,"PAGANTES A MENOS","PAGANTES A MAIS"))))</x:f>
        <x:v>SEM PAGANTE NO ARQUIVO</x:v>
      </x:c>
    </x:row>
    <x:row r="93" ht="15" hidden="0" customHeight="1">
      <x:c r="A93" s="17" t="str">
        <x:v>OP-1107</x:v>
      </x:c>
      <x:c r="B93" s="17" t="n">
        <x:f>COUNTIF('Serviços'!$B$2:$B$1264,A93)</x:f>
        <x:v>2</x:v>
      </x:c>
      <x:c r="C93" s="21" t="n">
        <x:f>SUMIF('Serviços'!$B$2:$B$1264,A93,'Serviços'!$I$2:$I$1264)</x:f>
        <x:v>952.96</x:v>
      </x:c>
      <x:c r="D93" s="21" t="n">
        <x:f>COUNTIF('Pagantes'!$B$2:$B$268,A93)</x:f>
        <x:v>1</x:v>
      </x:c>
      <x:c r="E93" s="21" t="n">
        <x:f>SUMIF('Pagantes'!$B$2:$B$268,A93,'Pagantes'!$D$2:$D$268)</x:f>
        <x:v>952.96</x:v>
      </x:c>
      <x:c r="F93" s="21" t="n">
        <x:f>SUMIFS('Pagantes'!$D$2:$D$268,'Pagantes'!$B$2:$B$268,A93,'Pagantes'!$E$2:$E$268,"&lt;&gt;Cancelado")</x:f>
        <x:v>952.96</x:v>
      </x:c>
      <x:c r="G93" s="21" t="n">
        <x:f>E93-F93</x:f>
        <x:v>0</x:v>
      </x:c>
      <x:c r="H93" s="21" t="n">
        <x:f>ROUND(F93-C93,2)</x:f>
        <x:v>0</x:v>
      </x:c>
      <x:c r="I93" s="21" t="n">
        <x:f>ROUND(E93-C93,2)</x:f>
        <x:v>0</x:v>
      </x:c>
      <x:c r="J93" s="17" t="str">
        <x:f>IF(B93=0,"SEM SERVIÇO NA GERAL",IF(D93=0,"SEM PAGANTE NO ARQUIVO",IF(H93=0,"BATE",IF(H93&lt;0,"PAGANTES A MENOS","PAGANTES A MAIS"))))</x:f>
        <x:v>BATE</x:v>
      </x:c>
    </x:row>
    <x:row r="94" ht="15" hidden="0" customHeight="1">
      <x:c r="A94" s="17" t="str">
        <x:v>OP-1109</x:v>
      </x:c>
      <x:c r="B94" s="17" t="n">
        <x:f>COUNTIF('Serviços'!$B$2:$B$1264,A94)</x:f>
        <x:v>2</x:v>
      </x:c>
      <x:c r="C94" s="21" t="n">
        <x:f>SUMIF('Serviços'!$B$2:$B$1264,A94,'Serviços'!$I$2:$I$1264)</x:f>
        <x:v>1110.6</x:v>
      </x:c>
      <x:c r="D94" s="21" t="n">
        <x:f>COUNTIF('Pagantes'!$B$2:$B$268,A94)</x:f>
        <x:v>1</x:v>
      </x:c>
      <x:c r="E94" s="21" t="n">
        <x:f>SUMIF('Pagantes'!$B$2:$B$268,A94,'Pagantes'!$D$2:$D$268)</x:f>
        <x:v>1110.6</x:v>
      </x:c>
      <x:c r="F94" s="21" t="n">
        <x:f>SUMIFS('Pagantes'!$D$2:$D$268,'Pagantes'!$B$2:$B$268,A94,'Pagantes'!$E$2:$E$268,"&lt;&gt;Cancelado")</x:f>
        <x:v>1110.6</x:v>
      </x:c>
      <x:c r="G94" s="21" t="n">
        <x:f>E94-F94</x:f>
        <x:v>0</x:v>
      </x:c>
      <x:c r="H94" s="21" t="n">
        <x:f>ROUND(F94-C94,2)</x:f>
        <x:v>0</x:v>
      </x:c>
      <x:c r="I94" s="21" t="n">
        <x:f>ROUND(E94-C94,2)</x:f>
        <x:v>0</x:v>
      </x:c>
      <x:c r="J94" s="17" t="str">
        <x:f>IF(B94=0,"SEM SERVIÇO NA GERAL",IF(D94=0,"SEM PAGANTE NO ARQUIVO",IF(H94=0,"BATE",IF(H94&lt;0,"PAGANTES A MENOS","PAGANTES A MAIS"))))</x:f>
        <x:v>BATE</x:v>
      </x:c>
    </x:row>
    <x:row r="95" ht="15" hidden="0" customHeight="1">
      <x:c r="A95" s="17" t="str">
        <x:v>OP-1110</x:v>
      </x:c>
      <x:c r="B95" s="17" t="n">
        <x:f>COUNTIF('Serviços'!$B$2:$B$1264,A95)</x:f>
        <x:v>2</x:v>
      </x:c>
      <x:c r="C95" s="21" t="n">
        <x:f>SUMIF('Serviços'!$B$2:$B$1264,A95,'Serviços'!$I$2:$I$1264)</x:f>
        <x:v>1371.74</x:v>
      </x:c>
      <x:c r="D95" s="21" t="n">
        <x:f>COUNTIF('Pagantes'!$B$2:$B$268,A95)</x:f>
        <x:v>2</x:v>
      </x:c>
      <x:c r="E95" s="21" t="n">
        <x:f>SUMIF('Pagantes'!$B$2:$B$268,A95,'Pagantes'!$D$2:$D$268)</x:f>
        <x:v>1371.74</x:v>
      </x:c>
      <x:c r="F95" s="21" t="n">
        <x:f>SUMIFS('Pagantes'!$D$2:$D$268,'Pagantes'!$B$2:$B$268,A95,'Pagantes'!$E$2:$E$268,"&lt;&gt;Cancelado")</x:f>
        <x:v>1371.74</x:v>
      </x:c>
      <x:c r="G95" s="21" t="n">
        <x:f>E95-F95</x:f>
        <x:v>0</x:v>
      </x:c>
      <x:c r="H95" s="21" t="n">
        <x:f>ROUND(F95-C95,2)</x:f>
        <x:v>0</x:v>
      </x:c>
      <x:c r="I95" s="21" t="n">
        <x:f>ROUND(E95-C95,2)</x:f>
        <x:v>0</x:v>
      </x:c>
      <x:c r="J95" s="17" t="str">
        <x:f>IF(B95=0,"SEM SERVIÇO NA GERAL",IF(D95=0,"SEM PAGANTE NO ARQUIVO",IF(H95=0,"BATE",IF(H95&lt;0,"PAGANTES A MENOS","PAGANTES A MAIS"))))</x:f>
        <x:v>BATE</x:v>
      </x:c>
    </x:row>
    <x:row r="96" ht="15" hidden="0" customHeight="1">
      <x:c r="A96" s="17" t="str">
        <x:v>OP-1111</x:v>
      </x:c>
      <x:c r="B96" s="17" t="n">
        <x:f>COUNTIF('Serviços'!$B$2:$B$1264,A96)</x:f>
        <x:v>2</x:v>
      </x:c>
      <x:c r="C96" s="21" t="n">
        <x:f>SUMIF('Serviços'!$B$2:$B$1264,A96,'Serviços'!$I$2:$I$1264)</x:f>
        <x:v>859.1</x:v>
      </x:c>
      <x:c r="D96" s="21" t="n">
        <x:f>COUNTIF('Pagantes'!$B$2:$B$268,A96)</x:f>
        <x:v>1</x:v>
      </x:c>
      <x:c r="E96" s="21" t="n">
        <x:f>SUMIF('Pagantes'!$B$2:$B$268,A96,'Pagantes'!$D$2:$D$268)</x:f>
        <x:v>859.1</x:v>
      </x:c>
      <x:c r="F96" s="21" t="n">
        <x:f>SUMIFS('Pagantes'!$D$2:$D$268,'Pagantes'!$B$2:$B$268,A96,'Pagantes'!$E$2:$E$268,"&lt;&gt;Cancelado")</x:f>
        <x:v>859.1</x:v>
      </x:c>
      <x:c r="G96" s="21" t="n">
        <x:f>E96-F96</x:f>
        <x:v>0</x:v>
      </x:c>
      <x:c r="H96" s="21" t="n">
        <x:f>ROUND(F96-C96,2)</x:f>
        <x:v>0</x:v>
      </x:c>
      <x:c r="I96" s="21" t="n">
        <x:f>ROUND(E96-C96,2)</x:f>
        <x:v>0</x:v>
      </x:c>
      <x:c r="J96" s="17" t="str">
        <x:f>IF(B96=0,"SEM SERVIÇO NA GERAL",IF(D96=0,"SEM PAGANTE NO ARQUIVO",IF(H96=0,"BATE",IF(H96&lt;0,"PAGANTES A MENOS","PAGANTES A MAIS"))))</x:f>
        <x:v>BATE</x:v>
      </x:c>
    </x:row>
    <x:row r="97" ht="15" hidden="0" customHeight="1">
      <x:c r="A97" s="17" t="str">
        <x:v>OP-1112</x:v>
      </x:c>
      <x:c r="B97" s="17" t="n">
        <x:f>COUNTIF('Serviços'!$B$2:$B$1264,A97)</x:f>
        <x:v>2</x:v>
      </x:c>
      <x:c r="C97" s="21" t="n">
        <x:f>SUMIF('Serviços'!$B$2:$B$1264,A97,'Serviços'!$I$2:$I$1264)</x:f>
        <x:v>859.1</x:v>
      </x:c>
      <x:c r="D97" s="21" t="n">
        <x:f>COUNTIF('Pagantes'!$B$2:$B$268,A97)</x:f>
        <x:v>1</x:v>
      </x:c>
      <x:c r="E97" s="21" t="n">
        <x:f>SUMIF('Pagantes'!$B$2:$B$268,A97,'Pagantes'!$D$2:$D$268)</x:f>
        <x:v>859.1</x:v>
      </x:c>
      <x:c r="F97" s="21" t="n">
        <x:f>SUMIFS('Pagantes'!$D$2:$D$268,'Pagantes'!$B$2:$B$268,A97,'Pagantes'!$E$2:$E$268,"&lt;&gt;Cancelado")</x:f>
        <x:v>859.1</x:v>
      </x:c>
      <x:c r="G97" s="21" t="n">
        <x:f>E97-F97</x:f>
        <x:v>0</x:v>
      </x:c>
      <x:c r="H97" s="21" t="n">
        <x:f>ROUND(F97-C97,2)</x:f>
        <x:v>0</x:v>
      </x:c>
      <x:c r="I97" s="21" t="n">
        <x:f>ROUND(E97-C97,2)</x:f>
        <x:v>0</x:v>
      </x:c>
      <x:c r="J97" s="17" t="str">
        <x:f>IF(B97=0,"SEM SERVIÇO NA GERAL",IF(D97=0,"SEM PAGANTE NO ARQUIVO",IF(H97=0,"BATE",IF(H97&lt;0,"PAGANTES A MENOS","PAGANTES A MAIS"))))</x:f>
        <x:v>BATE</x:v>
      </x:c>
    </x:row>
    <x:row r="98" ht="15" hidden="0" customHeight="1">
      <x:c r="A98" s="17" t="str">
        <x:v>OP-1113</x:v>
      </x:c>
      <x:c r="B98" s="17" t="n">
        <x:f>COUNTIF('Serviços'!$B$2:$B$1264,A98)</x:f>
        <x:v>2</x:v>
      </x:c>
      <x:c r="C98" s="21" t="n">
        <x:f>SUMIF('Serviços'!$B$2:$B$1264,A98,'Serviços'!$I$2:$I$1264)</x:f>
        <x:v>859.1</x:v>
      </x:c>
      <x:c r="D98" s="21" t="n">
        <x:f>COUNTIF('Pagantes'!$B$2:$B$268,A98)</x:f>
        <x:v>1</x:v>
      </x:c>
      <x:c r="E98" s="21" t="n">
        <x:f>SUMIF('Pagantes'!$B$2:$B$268,A98,'Pagantes'!$D$2:$D$268)</x:f>
        <x:v>859.1</x:v>
      </x:c>
      <x:c r="F98" s="21" t="n">
        <x:f>SUMIFS('Pagantes'!$D$2:$D$268,'Pagantes'!$B$2:$B$268,A98,'Pagantes'!$E$2:$E$268,"&lt;&gt;Cancelado")</x:f>
        <x:v>859.1</x:v>
      </x:c>
      <x:c r="G98" s="21" t="n">
        <x:f>E98-F98</x:f>
        <x:v>0</x:v>
      </x:c>
      <x:c r="H98" s="21" t="n">
        <x:f>ROUND(F98-C98,2)</x:f>
        <x:v>0</x:v>
      </x:c>
      <x:c r="I98" s="21" t="n">
        <x:f>ROUND(E98-C98,2)</x:f>
        <x:v>0</x:v>
      </x:c>
      <x:c r="J98" s="17" t="str">
        <x:f>IF(B98=0,"SEM SERVIÇO NA GERAL",IF(D98=0,"SEM PAGANTE NO ARQUIVO",IF(H98=0,"BATE",IF(H98&lt;0,"PAGANTES A MENOS","PAGANTES A MAIS"))))</x:f>
        <x:v>BATE</x:v>
      </x:c>
    </x:row>
    <x:row r="99" ht="15" hidden="0" customHeight="1">
      <x:c r="A99" s="17" t="str">
        <x:v>OP-1114</x:v>
      </x:c>
      <x:c r="B99" s="17" t="n">
        <x:f>COUNTIF('Serviços'!$B$2:$B$1264,A99)</x:f>
        <x:v>2</x:v>
      </x:c>
      <x:c r="C99" s="21" t="n">
        <x:f>SUMIF('Serviços'!$B$2:$B$1264,A99,'Serviços'!$I$2:$I$1264)</x:f>
        <x:v>859.1</x:v>
      </x:c>
      <x:c r="D99" s="21" t="n">
        <x:f>COUNTIF('Pagantes'!$B$2:$B$268,A99)</x:f>
        <x:v>1</x:v>
      </x:c>
      <x:c r="E99" s="21" t="n">
        <x:f>SUMIF('Pagantes'!$B$2:$B$268,A99,'Pagantes'!$D$2:$D$268)</x:f>
        <x:v>859.1</x:v>
      </x:c>
      <x:c r="F99" s="21" t="n">
        <x:f>SUMIFS('Pagantes'!$D$2:$D$268,'Pagantes'!$B$2:$B$268,A99,'Pagantes'!$E$2:$E$268,"&lt;&gt;Cancelado")</x:f>
        <x:v>859.1</x:v>
      </x:c>
      <x:c r="G99" s="21" t="n">
        <x:f>E99-F99</x:f>
        <x:v>0</x:v>
      </x:c>
      <x:c r="H99" s="21" t="n">
        <x:f>ROUND(F99-C99,2)</x:f>
        <x:v>0</x:v>
      </x:c>
      <x:c r="I99" s="21" t="n">
        <x:f>ROUND(E99-C99,2)</x:f>
        <x:v>0</x:v>
      </x:c>
      <x:c r="J99" s="17" t="str">
        <x:f>IF(B99=0,"SEM SERVIÇO NA GERAL",IF(D99=0,"SEM PAGANTE NO ARQUIVO",IF(H99=0,"BATE",IF(H99&lt;0,"PAGANTES A MENOS","PAGANTES A MAIS"))))</x:f>
        <x:v>BATE</x:v>
      </x:c>
    </x:row>
    <x:row r="100" ht="15" hidden="0" customHeight="1">
      <x:c r="A100" s="17" t="str">
        <x:v>OP-1115</x:v>
      </x:c>
      <x:c r="B100" s="17" t="n">
        <x:f>COUNTIF('Serviços'!$B$2:$B$1264,A100)</x:f>
        <x:v>2</x:v>
      </x:c>
      <x:c r="C100" s="21" t="n">
        <x:f>SUMIF('Serviços'!$B$2:$B$1264,A100,'Serviços'!$I$2:$I$1264)</x:f>
        <x:v>1204.86</x:v>
      </x:c>
      <x:c r="D100" s="21" t="n">
        <x:f>COUNTIF('Pagantes'!$B$2:$B$268,A100)</x:f>
        <x:v>1</x:v>
      </x:c>
      <x:c r="E100" s="21" t="n">
        <x:f>SUMIF('Pagantes'!$B$2:$B$268,A100,'Pagantes'!$D$2:$D$268)</x:f>
        <x:v>1204.86</x:v>
      </x:c>
      <x:c r="F100" s="21" t="n">
        <x:f>SUMIFS('Pagantes'!$D$2:$D$268,'Pagantes'!$B$2:$B$268,A100,'Pagantes'!$E$2:$E$268,"&lt;&gt;Cancelado")</x:f>
        <x:v>1204.86</x:v>
      </x:c>
      <x:c r="G100" s="21" t="n">
        <x:f>E100-F100</x:f>
        <x:v>0</x:v>
      </x:c>
      <x:c r="H100" s="21" t="n">
        <x:f>ROUND(F100-C100,2)</x:f>
        <x:v>0</x:v>
      </x:c>
      <x:c r="I100" s="21" t="n">
        <x:f>ROUND(E100-C100,2)</x:f>
        <x:v>0</x:v>
      </x:c>
      <x:c r="J100" s="17" t="str">
        <x:f>IF(B100=0,"SEM SERVIÇO NA GERAL",IF(D100=0,"SEM PAGANTE NO ARQUIVO",IF(H100=0,"BATE",IF(H100&lt;0,"PAGANTES A MENOS","PAGANTES A MAIS"))))</x:f>
        <x:v>BATE</x:v>
      </x:c>
    </x:row>
    <x:row r="101" ht="15" hidden="0" customHeight="1">
      <x:c r="A101" s="17" t="str">
        <x:v>OP-1116</x:v>
      </x:c>
      <x:c r="B101" s="17" t="n">
        <x:f>COUNTIF('Serviços'!$B$2:$B$1264,A101)</x:f>
        <x:v>2</x:v>
      </x:c>
      <x:c r="C101" s="21" t="n">
        <x:f>SUMIF('Serviços'!$B$2:$B$1264,A101,'Serviços'!$I$2:$I$1264)</x:f>
        <x:v>1289.8600000000001</x:v>
      </x:c>
      <x:c r="D101" s="21" t="n">
        <x:f>COUNTIF('Pagantes'!$B$2:$B$268,A101)</x:f>
        <x:v>1</x:v>
      </x:c>
      <x:c r="E101" s="21" t="n">
        <x:f>SUMIF('Pagantes'!$B$2:$B$268,A101,'Pagantes'!$D$2:$D$268)</x:f>
        <x:v>1289.86</x:v>
      </x:c>
      <x:c r="F101" s="21" t="n">
        <x:f>SUMIFS('Pagantes'!$D$2:$D$268,'Pagantes'!$B$2:$B$268,A101,'Pagantes'!$E$2:$E$268,"&lt;&gt;Cancelado")</x:f>
        <x:v>1289.86</x:v>
      </x:c>
      <x:c r="G101" s="21" t="n">
        <x:f>E101-F101</x:f>
        <x:v>0</x:v>
      </x:c>
      <x:c r="H101" s="21" t="n">
        <x:f>ROUND(F101-C101,2)</x:f>
        <x:v>0</x:v>
      </x:c>
      <x:c r="I101" s="21" t="n">
        <x:f>ROUND(E101-C101,2)</x:f>
        <x:v>0</x:v>
      </x:c>
      <x:c r="J101" s="17" t="str">
        <x:f>IF(B101=0,"SEM SERVIÇO NA GERAL",IF(D101=0,"SEM PAGANTE NO ARQUIVO",IF(H101=0,"BATE",IF(H101&lt;0,"PAGANTES A MENOS","PAGANTES A MAIS"))))</x:f>
        <x:v>BATE</x:v>
      </x:c>
    </x:row>
    <x:row r="102" ht="15" hidden="0" customHeight="1">
      <x:c r="A102" s="17" t="str">
        <x:v>OP-1117</x:v>
      </x:c>
      <x:c r="B102" s="17" t="n">
        <x:f>COUNTIF('Serviços'!$B$2:$B$1264,A102)</x:f>
        <x:v>10</x:v>
      </x:c>
      <x:c r="C102" s="21" t="n">
        <x:f>SUMIF('Serviços'!$B$2:$B$1264,A102,'Serviços'!$I$2:$I$1264)</x:f>
        <x:v>12631.91</x:v>
      </x:c>
      <x:c r="D102" s="21" t="n">
        <x:f>COUNTIF('Pagantes'!$B$2:$B$268,A102)</x:f>
        <x:v>0</x:v>
      </x:c>
      <x:c r="E102" s="21" t="n">
        <x:f>SUMIF('Pagantes'!$B$2:$B$268,A102,'Pagantes'!$D$2:$D$268)</x:f>
        <x:v>0</x:v>
      </x:c>
      <x:c r="F102" s="21" t="n">
        <x:f>SUMIFS('Pagantes'!$D$2:$D$268,'Pagantes'!$B$2:$B$268,A102,'Pagantes'!$E$2:$E$268,"&lt;&gt;Cancelado")</x:f>
        <x:v>0</x:v>
      </x:c>
      <x:c r="G102" s="21" t="n">
        <x:f>E102-F102</x:f>
        <x:v>0</x:v>
      </x:c>
      <x:c r="H102" s="21" t="n">
        <x:f>ROUND(F102-C102,2)</x:f>
        <x:v>-12631.91</x:v>
      </x:c>
      <x:c r="I102" s="21" t="n">
        <x:f>ROUND(E102-C102,2)</x:f>
        <x:v>-12631.91</x:v>
      </x:c>
      <x:c r="J102" s="17" t="str">
        <x:f>IF(B102=0,"SEM SERVIÇO NA GERAL",IF(D102=0,"SEM PAGANTE NO ARQUIVO",IF(H102=0,"BATE",IF(H102&lt;0,"PAGANTES A MENOS","PAGANTES A MAIS"))))</x:f>
        <x:v>SEM PAGANTE NO ARQUIVO</x:v>
      </x:c>
    </x:row>
    <x:row r="103" ht="15" hidden="0" customHeight="1">
      <x:c r="A103" s="17" t="str">
        <x:v>OP-1118</x:v>
      </x:c>
      <x:c r="B103" s="17" t="n">
        <x:f>COUNTIF('Serviços'!$B$2:$B$1264,A103)</x:f>
        <x:v>2</x:v>
      </x:c>
      <x:c r="C103" s="21" t="n">
        <x:f>SUMIF('Serviços'!$B$2:$B$1264,A103,'Serviços'!$I$2:$I$1264)</x:f>
        <x:v>1116.8400000000001</x:v>
      </x:c>
      <x:c r="D103" s="21" t="n">
        <x:f>COUNTIF('Pagantes'!$B$2:$B$268,A103)</x:f>
        <x:v>1</x:v>
      </x:c>
      <x:c r="E103" s="21" t="n">
        <x:f>SUMIF('Pagantes'!$B$2:$B$268,A103,'Pagantes'!$D$2:$D$268)</x:f>
        <x:v>1116.84</x:v>
      </x:c>
      <x:c r="F103" s="21" t="n">
        <x:f>SUMIFS('Pagantes'!$D$2:$D$268,'Pagantes'!$B$2:$B$268,A103,'Pagantes'!$E$2:$E$268,"&lt;&gt;Cancelado")</x:f>
        <x:v>1116.84</x:v>
      </x:c>
      <x:c r="G103" s="21" t="n">
        <x:f>E103-F103</x:f>
        <x:v>0</x:v>
      </x:c>
      <x:c r="H103" s="21" t="n">
        <x:f>ROUND(F103-C103,2)</x:f>
        <x:v>0</x:v>
      </x:c>
      <x:c r="I103" s="21" t="n">
        <x:f>ROUND(E103-C103,2)</x:f>
        <x:v>0</x:v>
      </x:c>
      <x:c r="J103" s="17" t="str">
        <x:f>IF(B103=0,"SEM SERVIÇO NA GERAL",IF(D103=0,"SEM PAGANTE NO ARQUIVO",IF(H103=0,"BATE",IF(H103&lt;0,"PAGANTES A MENOS","PAGANTES A MAIS"))))</x:f>
        <x:v>BATE</x:v>
      </x:c>
    </x:row>
    <x:row r="104" ht="15" hidden="0" customHeight="1">
      <x:c r="A104" s="17" t="str">
        <x:v>OP-1119</x:v>
      </x:c>
      <x:c r="B104" s="17" t="n">
        <x:f>COUNTIF('Serviços'!$B$2:$B$1264,A104)</x:f>
        <x:v>3</x:v>
      </x:c>
      <x:c r="C104" s="21" t="n">
        <x:f>SUMIF('Serviços'!$B$2:$B$1264,A104,'Serviços'!$I$2:$I$1264)</x:f>
        <x:v>7770</x:v>
      </x:c>
      <x:c r="D104" s="21" t="n">
        <x:f>COUNTIF('Pagantes'!$B$2:$B$268,A104)</x:f>
        <x:v>0</x:v>
      </x:c>
      <x:c r="E104" s="21" t="n">
        <x:f>SUMIF('Pagantes'!$B$2:$B$268,A104,'Pagantes'!$D$2:$D$268)</x:f>
        <x:v>0</x:v>
      </x:c>
      <x:c r="F104" s="21" t="n">
        <x:f>SUMIFS('Pagantes'!$D$2:$D$268,'Pagantes'!$B$2:$B$268,A104,'Pagantes'!$E$2:$E$268,"&lt;&gt;Cancelado")</x:f>
        <x:v>0</x:v>
      </x:c>
      <x:c r="G104" s="21" t="n">
        <x:f>E104-F104</x:f>
        <x:v>0</x:v>
      </x:c>
      <x:c r="H104" s="21" t="n">
        <x:f>ROUND(F104-C104,2)</x:f>
        <x:v>-7770</x:v>
      </x:c>
      <x:c r="I104" s="21" t="n">
        <x:f>ROUND(E104-C104,2)</x:f>
        <x:v>-7770</x:v>
      </x:c>
      <x:c r="J104" s="17" t="str">
        <x:f>IF(B104=0,"SEM SERVIÇO NA GERAL",IF(D104=0,"SEM PAGANTE NO ARQUIVO",IF(H104=0,"BATE",IF(H104&lt;0,"PAGANTES A MENOS","PAGANTES A MAIS"))))</x:f>
        <x:v>SEM PAGANTE NO ARQUIVO</x:v>
      </x:c>
    </x:row>
    <x:row r="105" ht="15" hidden="0" customHeight="1">
      <x:c r="A105" s="17" t="str">
        <x:v>OP-1120</x:v>
      </x:c>
      <x:c r="B105" s="17" t="n">
        <x:f>COUNTIF('Serviços'!$B$2:$B$1264,A105)</x:f>
        <x:v>2</x:v>
      </x:c>
      <x:c r="C105" s="21" t="n">
        <x:f>SUMIF('Serviços'!$B$2:$B$1264,A105,'Serviços'!$I$2:$I$1264)</x:f>
        <x:v>1513.78</x:v>
      </x:c>
      <x:c r="D105" s="21" t="n">
        <x:f>COUNTIF('Pagantes'!$B$2:$B$268,A105)</x:f>
        <x:v>1</x:v>
      </x:c>
      <x:c r="E105" s="21" t="n">
        <x:f>SUMIF('Pagantes'!$B$2:$B$268,A105,'Pagantes'!$D$2:$D$268)</x:f>
        <x:v>1513.78</x:v>
      </x:c>
      <x:c r="F105" s="21" t="n">
        <x:f>SUMIFS('Pagantes'!$D$2:$D$268,'Pagantes'!$B$2:$B$268,A105,'Pagantes'!$E$2:$E$268,"&lt;&gt;Cancelado")</x:f>
        <x:v>1513.78</x:v>
      </x:c>
      <x:c r="G105" s="21" t="n">
        <x:f>E105-F105</x:f>
        <x:v>0</x:v>
      </x:c>
      <x:c r="H105" s="21" t="n">
        <x:f>ROUND(F105-C105,2)</x:f>
        <x:v>0</x:v>
      </x:c>
      <x:c r="I105" s="21" t="n">
        <x:f>ROUND(E105-C105,2)</x:f>
        <x:v>0</x:v>
      </x:c>
      <x:c r="J105" s="17" t="str">
        <x:f>IF(B105=0,"SEM SERVIÇO NA GERAL",IF(D105=0,"SEM PAGANTE NO ARQUIVO",IF(H105=0,"BATE",IF(H105&lt;0,"PAGANTES A MENOS","PAGANTES A MAIS"))))</x:f>
        <x:v>BATE</x:v>
      </x:c>
    </x:row>
    <x:row r="106" ht="15" hidden="0" customHeight="1">
      <x:c r="A106" s="17" t="str">
        <x:v>OP-1121</x:v>
      </x:c>
      <x:c r="B106" s="17" t="n">
        <x:f>COUNTIF('Serviços'!$B$2:$B$1264,A106)</x:f>
        <x:v>2</x:v>
      </x:c>
      <x:c r="C106" s="21" t="n">
        <x:f>SUMIF('Serviços'!$B$2:$B$1264,A106,'Serviços'!$I$2:$I$1264)</x:f>
        <x:v>1148.48</x:v>
      </x:c>
      <x:c r="D106" s="21" t="n">
        <x:f>COUNTIF('Pagantes'!$B$2:$B$268,A106)</x:f>
        <x:v>1</x:v>
      </x:c>
      <x:c r="E106" s="21" t="n">
        <x:f>SUMIF('Pagantes'!$B$2:$B$268,A106,'Pagantes'!$D$2:$D$268)</x:f>
        <x:v>765.66</x:v>
      </x:c>
      <x:c r="F106" s="21" t="n">
        <x:f>SUMIFS('Pagantes'!$D$2:$D$268,'Pagantes'!$B$2:$B$268,A106,'Pagantes'!$E$2:$E$268,"&lt;&gt;Cancelado")</x:f>
        <x:v>765.66</x:v>
      </x:c>
      <x:c r="G106" s="21" t="n">
        <x:f>E106-F106</x:f>
        <x:v>0</x:v>
      </x:c>
      <x:c r="H106" s="21" t="n">
        <x:f>ROUND(F106-C106,2)</x:f>
        <x:v>-382.82</x:v>
      </x:c>
      <x:c r="I106" s="21" t="n">
        <x:f>ROUND(E106-C106,2)</x:f>
        <x:v>-382.82</x:v>
      </x:c>
      <x:c r="J106" s="17" t="str">
        <x:f>IF(B106=0,"SEM SERVIÇO NA GERAL",IF(D106=0,"SEM PAGANTE NO ARQUIVO",IF(H106=0,"BATE",IF(H106&lt;0,"PAGANTES A MENOS","PAGANTES A MAIS"))))</x:f>
        <x:v>PAGANTES A MENOS</x:v>
      </x:c>
    </x:row>
    <x:row r="107" ht="15" hidden="0" customHeight="1">
      <x:c r="A107" s="17" t="str">
        <x:v>OP-1122</x:v>
      </x:c>
      <x:c r="B107" s="17" t="n">
        <x:f>COUNTIF('Serviços'!$B$2:$B$1264,A107)</x:f>
        <x:v>2</x:v>
      </x:c>
      <x:c r="C107" s="21" t="n">
        <x:f>SUMIF('Serviços'!$B$2:$B$1264,A107,'Serviços'!$I$2:$I$1264)</x:f>
        <x:v>850</x:v>
      </x:c>
      <x:c r="D107" s="21" t="n">
        <x:f>COUNTIF('Pagantes'!$B$2:$B$268,A107)</x:f>
        <x:v>0</x:v>
      </x:c>
      <x:c r="E107" s="21" t="n">
        <x:f>SUMIF('Pagantes'!$B$2:$B$268,A107,'Pagantes'!$D$2:$D$268)</x:f>
        <x:v>0</x:v>
      </x:c>
      <x:c r="F107" s="21" t="n">
        <x:f>SUMIFS('Pagantes'!$D$2:$D$268,'Pagantes'!$B$2:$B$268,A107,'Pagantes'!$E$2:$E$268,"&lt;&gt;Cancelado")</x:f>
        <x:v>0</x:v>
      </x:c>
      <x:c r="G107" s="21" t="n">
        <x:f>E107-F107</x:f>
        <x:v>0</x:v>
      </x:c>
      <x:c r="H107" s="21" t="n">
        <x:f>ROUND(F107-C107,2)</x:f>
        <x:v>-850</x:v>
      </x:c>
      <x:c r="I107" s="21" t="n">
        <x:f>ROUND(E107-C107,2)</x:f>
        <x:v>-850</x:v>
      </x:c>
      <x:c r="J107" s="17" t="str">
        <x:f>IF(B107=0,"SEM SERVIÇO NA GERAL",IF(D107=0,"SEM PAGANTE NO ARQUIVO",IF(H107=0,"BATE",IF(H107&lt;0,"PAGANTES A MENOS","PAGANTES A MAIS"))))</x:f>
        <x:v>SEM PAGANTE NO ARQUIVO</x:v>
      </x:c>
    </x:row>
    <x:row r="108" ht="15" hidden="0" customHeight="1">
      <x:c r="A108" s="17" t="str">
        <x:v>OP-1123</x:v>
      </x:c>
      <x:c r="B108" s="17" t="n">
        <x:f>COUNTIF('Serviços'!$B$2:$B$1264,A108)</x:f>
        <x:v>2</x:v>
      </x:c>
      <x:c r="C108" s="21" t="n">
        <x:f>SUMIF('Serviços'!$B$2:$B$1264,A108,'Serviços'!$I$2:$I$1264)</x:f>
        <x:v>970</x:v>
      </x:c>
      <x:c r="D108" s="21" t="n">
        <x:f>COUNTIF('Pagantes'!$B$2:$B$268,A108)</x:f>
        <x:v>0</x:v>
      </x:c>
      <x:c r="E108" s="21" t="n">
        <x:f>SUMIF('Pagantes'!$B$2:$B$268,A108,'Pagantes'!$D$2:$D$268)</x:f>
        <x:v>0</x:v>
      </x:c>
      <x:c r="F108" s="21" t="n">
        <x:f>SUMIFS('Pagantes'!$D$2:$D$268,'Pagantes'!$B$2:$B$268,A108,'Pagantes'!$E$2:$E$268,"&lt;&gt;Cancelado")</x:f>
        <x:v>0</x:v>
      </x:c>
      <x:c r="G108" s="21" t="n">
        <x:f>E108-F108</x:f>
        <x:v>0</x:v>
      </x:c>
      <x:c r="H108" s="21" t="n">
        <x:f>ROUND(F108-C108,2)</x:f>
        <x:v>-970</x:v>
      </x:c>
      <x:c r="I108" s="21" t="n">
        <x:f>ROUND(E108-C108,2)</x:f>
        <x:v>-970</x:v>
      </x:c>
      <x:c r="J108" s="17" t="str">
        <x:f>IF(B108=0,"SEM SERVIÇO NA GERAL",IF(D108=0,"SEM PAGANTE NO ARQUIVO",IF(H108=0,"BATE",IF(H108&lt;0,"PAGANTES A MENOS","PAGANTES A MAIS"))))</x:f>
        <x:v>SEM PAGANTE NO ARQUIVO</x:v>
      </x:c>
    </x:row>
    <x:row r="109" ht="15" hidden="0" customHeight="1">
      <x:c r="A109" s="17" t="str">
        <x:v>OP-1124</x:v>
      </x:c>
      <x:c r="B109" s="17" t="n">
        <x:f>COUNTIF('Serviços'!$B$2:$B$1264,A109)</x:f>
        <x:v>4</x:v>
      </x:c>
      <x:c r="C109" s="21" t="n">
        <x:f>SUMIF('Serviços'!$B$2:$B$1264,A109,'Serviços'!$I$2:$I$1264)</x:f>
        <x:v>3034</x:v>
      </x:c>
      <x:c r="D109" s="21" t="n">
        <x:f>COUNTIF('Pagantes'!$B$2:$B$268,A109)</x:f>
        <x:v>0</x:v>
      </x:c>
      <x:c r="E109" s="21" t="n">
        <x:f>SUMIF('Pagantes'!$B$2:$B$268,A109,'Pagantes'!$D$2:$D$268)</x:f>
        <x:v>0</x:v>
      </x:c>
      <x:c r="F109" s="21" t="n">
        <x:f>SUMIFS('Pagantes'!$D$2:$D$268,'Pagantes'!$B$2:$B$268,A109,'Pagantes'!$E$2:$E$268,"&lt;&gt;Cancelado")</x:f>
        <x:v>0</x:v>
      </x:c>
      <x:c r="G109" s="21" t="n">
        <x:f>E109-F109</x:f>
        <x:v>0</x:v>
      </x:c>
      <x:c r="H109" s="21" t="n">
        <x:f>ROUND(F109-C109,2)</x:f>
        <x:v>-3034</x:v>
      </x:c>
      <x:c r="I109" s="21" t="n">
        <x:f>ROUND(E109-C109,2)</x:f>
        <x:v>-3034</x:v>
      </x:c>
      <x:c r="J109" s="17" t="str">
        <x:f>IF(B109=0,"SEM SERVIÇO NA GERAL",IF(D109=0,"SEM PAGANTE NO ARQUIVO",IF(H109=0,"BATE",IF(H109&lt;0,"PAGANTES A MENOS","PAGANTES A MAIS"))))</x:f>
        <x:v>SEM PAGANTE NO ARQUIVO</x:v>
      </x:c>
    </x:row>
    <x:row r="110" ht="15" hidden="0" customHeight="1">
      <x:c r="A110" s="17" t="str">
        <x:v>OP-1125</x:v>
      </x:c>
      <x:c r="B110" s="17" t="n">
        <x:f>COUNTIF('Serviços'!$B$2:$B$1264,A110)</x:f>
        <x:v>2</x:v>
      </x:c>
      <x:c r="C110" s="21" t="n">
        <x:f>SUMIF('Serviços'!$B$2:$B$1264,A110,'Serviços'!$I$2:$I$1264)</x:f>
        <x:v>952.96</x:v>
      </x:c>
      <x:c r="D110" s="21" t="n">
        <x:f>COUNTIF('Pagantes'!$B$2:$B$268,A110)</x:f>
        <x:v>0</x:v>
      </x:c>
      <x:c r="E110" s="21" t="n">
        <x:f>SUMIF('Pagantes'!$B$2:$B$268,A110,'Pagantes'!$D$2:$D$268)</x:f>
        <x:v>0</x:v>
      </x:c>
      <x:c r="F110" s="21" t="n">
        <x:f>SUMIFS('Pagantes'!$D$2:$D$268,'Pagantes'!$B$2:$B$268,A110,'Pagantes'!$E$2:$E$268,"&lt;&gt;Cancelado")</x:f>
        <x:v>0</x:v>
      </x:c>
      <x:c r="G110" s="21" t="n">
        <x:f>E110-F110</x:f>
        <x:v>0</x:v>
      </x:c>
      <x:c r="H110" s="21" t="n">
        <x:f>ROUND(F110-C110,2)</x:f>
        <x:v>-952.96</x:v>
      </x:c>
      <x:c r="I110" s="21" t="n">
        <x:f>ROUND(E110-C110,2)</x:f>
        <x:v>-952.96</x:v>
      </x:c>
      <x:c r="J110" s="17" t="str">
        <x:f>IF(B110=0,"SEM SERVIÇO NA GERAL",IF(D110=0,"SEM PAGANTE NO ARQUIVO",IF(H110=0,"BATE",IF(H110&lt;0,"PAGANTES A MENOS","PAGANTES A MAIS"))))</x:f>
        <x:v>SEM PAGANTE NO ARQUIVO</x:v>
      </x:c>
    </x:row>
    <x:row r="111" ht="15" hidden="0" customHeight="1">
      <x:c r="A111" s="17" t="str">
        <x:v>OP-1126</x:v>
      </x:c>
      <x:c r="B111" s="17" t="n">
        <x:f>COUNTIF('Serviços'!$B$2:$B$1264,A111)</x:f>
        <x:v>2</x:v>
      </x:c>
      <x:c r="C111" s="21" t="n">
        <x:f>SUMIF('Serviços'!$B$2:$B$1264,A111,'Serviços'!$I$2:$I$1264)</x:f>
        <x:v>1050.72</x:v>
      </x:c>
      <x:c r="D111" s="21" t="n">
        <x:f>COUNTIF('Pagantes'!$B$2:$B$268,A111)</x:f>
        <x:v>1</x:v>
      </x:c>
      <x:c r="E111" s="21" t="n">
        <x:f>SUMIF('Pagantes'!$B$2:$B$268,A111,'Pagantes'!$D$2:$D$268)</x:f>
        <x:v>1050.72</x:v>
      </x:c>
      <x:c r="F111" s="21" t="n">
        <x:f>SUMIFS('Pagantes'!$D$2:$D$268,'Pagantes'!$B$2:$B$268,A111,'Pagantes'!$E$2:$E$268,"&lt;&gt;Cancelado")</x:f>
        <x:v>1050.72</x:v>
      </x:c>
      <x:c r="G111" s="21" t="n">
        <x:f>E111-F111</x:f>
        <x:v>0</x:v>
      </x:c>
      <x:c r="H111" s="21" t="n">
        <x:f>ROUND(F111-C111,2)</x:f>
        <x:v>0</x:v>
      </x:c>
      <x:c r="I111" s="21" t="n">
        <x:f>ROUND(E111-C111,2)</x:f>
        <x:v>0</x:v>
      </x:c>
      <x:c r="J111" s="17" t="str">
        <x:f>IF(B111=0,"SEM SERVIÇO NA GERAL",IF(D111=0,"SEM PAGANTE NO ARQUIVO",IF(H111=0,"BATE",IF(H111&lt;0,"PAGANTES A MENOS","PAGANTES A MAIS"))))</x:f>
        <x:v>BATE</x:v>
      </x:c>
    </x:row>
    <x:row r="112" ht="15" hidden="0" customHeight="1">
      <x:c r="A112" s="17" t="str">
        <x:v>OP-1127</x:v>
      </x:c>
      <x:c r="B112" s="17" t="n">
        <x:f>COUNTIF('Serviços'!$B$2:$B$1264,A112)</x:f>
        <x:v>2</x:v>
      </x:c>
      <x:c r="C112" s="21" t="n">
        <x:f>SUMIF('Serviços'!$B$2:$B$1264,A112,'Serviços'!$I$2:$I$1264)</x:f>
        <x:v>859.1</x:v>
      </x:c>
      <x:c r="D112" s="21" t="n">
        <x:f>COUNTIF('Pagantes'!$B$2:$B$268,A112)</x:f>
        <x:v>1</x:v>
      </x:c>
      <x:c r="E112" s="21" t="n">
        <x:f>SUMIF('Pagantes'!$B$2:$B$268,A112,'Pagantes'!$D$2:$D$268)</x:f>
        <x:v>859.1</x:v>
      </x:c>
      <x:c r="F112" s="21" t="n">
        <x:f>SUMIFS('Pagantes'!$D$2:$D$268,'Pagantes'!$B$2:$B$268,A112,'Pagantes'!$E$2:$E$268,"&lt;&gt;Cancelado")</x:f>
        <x:v>859.1</x:v>
      </x:c>
      <x:c r="G112" s="21" t="n">
        <x:f>E112-F112</x:f>
        <x:v>0</x:v>
      </x:c>
      <x:c r="H112" s="21" t="n">
        <x:f>ROUND(F112-C112,2)</x:f>
        <x:v>0</x:v>
      </x:c>
      <x:c r="I112" s="21" t="n">
        <x:f>ROUND(E112-C112,2)</x:f>
        <x:v>0</x:v>
      </x:c>
      <x:c r="J112" s="17" t="str">
        <x:f>IF(B112=0,"SEM SERVIÇO NA GERAL",IF(D112=0,"SEM PAGANTE NO ARQUIVO",IF(H112=0,"BATE",IF(H112&lt;0,"PAGANTES A MENOS","PAGANTES A MAIS"))))</x:f>
        <x:v>BATE</x:v>
      </x:c>
    </x:row>
    <x:row r="113" ht="15" hidden="0" customHeight="1">
      <x:c r="A113" s="17" t="str">
        <x:v>OP-1128</x:v>
      </x:c>
      <x:c r="B113" s="17" t="n">
        <x:f>COUNTIF('Serviços'!$B$2:$B$1264,A113)</x:f>
        <x:v>2</x:v>
      </x:c>
      <x:c r="C113" s="21" t="n">
        <x:f>SUMIF('Serviços'!$B$2:$B$1264,A113,'Serviços'!$I$2:$I$1264)</x:f>
        <x:v>859.1</x:v>
      </x:c>
      <x:c r="D113" s="21" t="n">
        <x:f>COUNTIF('Pagantes'!$B$2:$B$268,A113)</x:f>
        <x:v>1</x:v>
      </x:c>
      <x:c r="E113" s="21" t="n">
        <x:f>SUMIF('Pagantes'!$B$2:$B$268,A113,'Pagantes'!$D$2:$D$268)</x:f>
        <x:v>859.1</x:v>
      </x:c>
      <x:c r="F113" s="21" t="n">
        <x:f>SUMIFS('Pagantes'!$D$2:$D$268,'Pagantes'!$B$2:$B$268,A113,'Pagantes'!$E$2:$E$268,"&lt;&gt;Cancelado")</x:f>
        <x:v>859.1</x:v>
      </x:c>
      <x:c r="G113" s="21" t="n">
        <x:f>E113-F113</x:f>
        <x:v>0</x:v>
      </x:c>
      <x:c r="H113" s="21" t="n">
        <x:f>ROUND(F113-C113,2)</x:f>
        <x:v>0</x:v>
      </x:c>
      <x:c r="I113" s="21" t="n">
        <x:f>ROUND(E113-C113,2)</x:f>
        <x:v>0</x:v>
      </x:c>
      <x:c r="J113" s="17" t="str">
        <x:f>IF(B113=0,"SEM SERVIÇO NA GERAL",IF(D113=0,"SEM PAGANTE NO ARQUIVO",IF(H113=0,"BATE",IF(H113&lt;0,"PAGANTES A MENOS","PAGANTES A MAIS"))))</x:f>
        <x:v>BATE</x:v>
      </x:c>
    </x:row>
    <x:row r="114" ht="15" hidden="0" customHeight="1">
      <x:c r="A114" s="17" t="str">
        <x:v>OP-1129</x:v>
      </x:c>
      <x:c r="B114" s="17" t="n">
        <x:f>COUNTIF('Serviços'!$B$2:$B$1264,A114)</x:f>
        <x:v>2</x:v>
      </x:c>
      <x:c r="C114" s="21" t="n">
        <x:f>SUMIF('Serviços'!$B$2:$B$1264,A114,'Serviços'!$I$2:$I$1264)</x:f>
        <x:v>859.1</x:v>
      </x:c>
      <x:c r="D114" s="21" t="n">
        <x:f>COUNTIF('Pagantes'!$B$2:$B$268,A114)</x:f>
        <x:v>1</x:v>
      </x:c>
      <x:c r="E114" s="21" t="n">
        <x:f>SUMIF('Pagantes'!$B$2:$B$268,A114,'Pagantes'!$D$2:$D$268)</x:f>
        <x:v>859.1</x:v>
      </x:c>
      <x:c r="F114" s="21" t="n">
        <x:f>SUMIFS('Pagantes'!$D$2:$D$268,'Pagantes'!$B$2:$B$268,A114,'Pagantes'!$E$2:$E$268,"&lt;&gt;Cancelado")</x:f>
        <x:v>859.1</x:v>
      </x:c>
      <x:c r="G114" s="21" t="n">
        <x:f>E114-F114</x:f>
        <x:v>0</x:v>
      </x:c>
      <x:c r="H114" s="21" t="n">
        <x:f>ROUND(F114-C114,2)</x:f>
        <x:v>0</x:v>
      </x:c>
      <x:c r="I114" s="21" t="n">
        <x:f>ROUND(E114-C114,2)</x:f>
        <x:v>0</x:v>
      </x:c>
      <x:c r="J114" s="17" t="str">
        <x:f>IF(B114=0,"SEM SERVIÇO NA GERAL",IF(D114=0,"SEM PAGANTE NO ARQUIVO",IF(H114=0,"BATE",IF(H114&lt;0,"PAGANTES A MENOS","PAGANTES A MAIS"))))</x:f>
        <x:v>BATE</x:v>
      </x:c>
    </x:row>
    <x:row r="115" ht="15" hidden="0" customHeight="1">
      <x:c r="A115" s="17" t="str">
        <x:v>OP-1130</x:v>
      </x:c>
      <x:c r="B115" s="17" t="n">
        <x:f>COUNTIF('Serviços'!$B$2:$B$1264,A115)</x:f>
        <x:v>2</x:v>
      </x:c>
      <x:c r="C115" s="21" t="n">
        <x:f>SUMIF('Serviços'!$B$2:$B$1264,A115,'Serviços'!$I$2:$I$1264)</x:f>
        <x:v>1273.98</x:v>
      </x:c>
      <x:c r="D115" s="21" t="n">
        <x:f>COUNTIF('Pagantes'!$B$2:$B$268,A115)</x:f>
        <x:v>1</x:v>
      </x:c>
      <x:c r="E115" s="21" t="n">
        <x:f>SUMIF('Pagantes'!$B$2:$B$268,A115,'Pagantes'!$D$2:$D$268)</x:f>
        <x:v>1273.98</x:v>
      </x:c>
      <x:c r="F115" s="21" t="n">
        <x:f>SUMIFS('Pagantes'!$D$2:$D$268,'Pagantes'!$B$2:$B$268,A115,'Pagantes'!$E$2:$E$268,"&lt;&gt;Cancelado")</x:f>
        <x:v>1273.98</x:v>
      </x:c>
      <x:c r="G115" s="21" t="n">
        <x:f>E115-F115</x:f>
        <x:v>0</x:v>
      </x:c>
      <x:c r="H115" s="21" t="n">
        <x:f>ROUND(F115-C115,2)</x:f>
        <x:v>0</x:v>
      </x:c>
      <x:c r="I115" s="21" t="n">
        <x:f>ROUND(E115-C115,2)</x:f>
        <x:v>0</x:v>
      </x:c>
      <x:c r="J115" s="17" t="str">
        <x:f>IF(B115=0,"SEM SERVIÇO NA GERAL",IF(D115=0,"SEM PAGANTE NO ARQUIVO",IF(H115=0,"BATE",IF(H115&lt;0,"PAGANTES A MENOS","PAGANTES A MAIS"))))</x:f>
        <x:v>BATE</x:v>
      </x:c>
    </x:row>
    <x:row r="116" ht="15" hidden="0" customHeight="1">
      <x:c r="A116" s="17" t="str">
        <x:v>OP-1131</x:v>
      </x:c>
      <x:c r="B116" s="17" t="n">
        <x:f>COUNTIF('Serviços'!$B$2:$B$1264,A116)</x:f>
        <x:v>2</x:v>
      </x:c>
      <x:c r="C116" s="21" t="n">
        <x:f>SUMIF('Serviços'!$B$2:$B$1264,A116,'Serviços'!$I$2:$I$1264)</x:f>
        <x:v>952.96</x:v>
      </x:c>
      <x:c r="D116" s="21" t="n">
        <x:f>COUNTIF('Pagantes'!$B$2:$B$268,A116)</x:f>
        <x:v>1</x:v>
      </x:c>
      <x:c r="E116" s="21" t="n">
        <x:f>SUMIF('Pagantes'!$B$2:$B$268,A116,'Pagantes'!$D$2:$D$268)</x:f>
        <x:v>952.96</x:v>
      </x:c>
      <x:c r="F116" s="21" t="n">
        <x:f>SUMIFS('Pagantes'!$D$2:$D$268,'Pagantes'!$B$2:$B$268,A116,'Pagantes'!$E$2:$E$268,"&lt;&gt;Cancelado")</x:f>
        <x:v>952.96</x:v>
      </x:c>
      <x:c r="G116" s="21" t="n">
        <x:f>E116-F116</x:f>
        <x:v>0</x:v>
      </x:c>
      <x:c r="H116" s="21" t="n">
        <x:f>ROUND(F116-C116,2)</x:f>
        <x:v>0</x:v>
      </x:c>
      <x:c r="I116" s="21" t="n">
        <x:f>ROUND(E116-C116,2)</x:f>
        <x:v>0</x:v>
      </x:c>
      <x:c r="J116" s="17" t="str">
        <x:f>IF(B116=0,"SEM SERVIÇO NA GERAL",IF(D116=0,"SEM PAGANTE NO ARQUIVO",IF(H116=0,"BATE",IF(H116&lt;0,"PAGANTES A MENOS","PAGANTES A MAIS"))))</x:f>
        <x:v>BATE</x:v>
      </x:c>
    </x:row>
    <x:row r="117" ht="15" hidden="0" customHeight="1">
      <x:c r="A117" s="17" t="str">
        <x:v>OP-1132</x:v>
      </x:c>
      <x:c r="B117" s="17" t="n">
        <x:f>COUNTIF('Serviços'!$B$2:$B$1264,A117)</x:f>
        <x:v>1</x:v>
      </x:c>
      <x:c r="C117" s="21" t="n">
        <x:f>SUMIF('Serviços'!$B$2:$B$1264,A117,'Serviços'!$I$2:$I$1264)</x:f>
        <x:v>1351.44</x:v>
      </x:c>
      <x:c r="D117" s="21" t="n">
        <x:f>COUNTIF('Pagantes'!$B$2:$B$268,A117)</x:f>
        <x:v>1</x:v>
      </x:c>
      <x:c r="E117" s="21" t="n">
        <x:f>SUMIF('Pagantes'!$B$2:$B$268,A117,'Pagantes'!$D$2:$D$268)</x:f>
        <x:v>1351.44</x:v>
      </x:c>
      <x:c r="F117" s="21" t="n">
        <x:f>SUMIFS('Pagantes'!$D$2:$D$268,'Pagantes'!$B$2:$B$268,A117,'Pagantes'!$E$2:$E$268,"&lt;&gt;Cancelado")</x:f>
        <x:v>1351.44</x:v>
      </x:c>
      <x:c r="G117" s="21" t="n">
        <x:f>E117-F117</x:f>
        <x:v>0</x:v>
      </x:c>
      <x:c r="H117" s="21" t="n">
        <x:f>ROUND(F117-C117,2)</x:f>
        <x:v>0</x:v>
      </x:c>
      <x:c r="I117" s="21" t="n">
        <x:f>ROUND(E117-C117,2)</x:f>
        <x:v>0</x:v>
      </x:c>
      <x:c r="J117" s="17" t="str">
        <x:f>IF(B117=0,"SEM SERVIÇO NA GERAL",IF(D117=0,"SEM PAGANTE NO ARQUIVO",IF(H117=0,"BATE",IF(H117&lt;0,"PAGANTES A MENOS","PAGANTES A MAIS"))))</x:f>
        <x:v>BATE</x:v>
      </x:c>
    </x:row>
    <x:row r="118" ht="15" hidden="0" customHeight="1">
      <x:c r="A118" s="17" t="str">
        <x:v>OP-1133</x:v>
      </x:c>
      <x:c r="B118" s="17" t="n">
        <x:f>COUNTIF('Serviços'!$B$2:$B$1264,A118)</x:f>
        <x:v>2</x:v>
      </x:c>
      <x:c r="C118" s="21" t="n">
        <x:f>SUMIF('Serviços'!$B$2:$B$1264,A118,'Serviços'!$I$2:$I$1264)</x:f>
        <x:v>952.96</x:v>
      </x:c>
      <x:c r="D118" s="21" t="n">
        <x:f>COUNTIF('Pagantes'!$B$2:$B$268,A118)</x:f>
        <x:v>1</x:v>
      </x:c>
      <x:c r="E118" s="21" t="n">
        <x:f>SUMIF('Pagantes'!$B$2:$B$268,A118,'Pagantes'!$D$2:$D$268)</x:f>
        <x:v>952.96</x:v>
      </x:c>
      <x:c r="F118" s="21" t="n">
        <x:f>SUMIFS('Pagantes'!$D$2:$D$268,'Pagantes'!$B$2:$B$268,A118,'Pagantes'!$E$2:$E$268,"&lt;&gt;Cancelado")</x:f>
        <x:v>952.96</x:v>
      </x:c>
      <x:c r="G118" s="21" t="n">
        <x:f>E118-F118</x:f>
        <x:v>0</x:v>
      </x:c>
      <x:c r="H118" s="21" t="n">
        <x:f>ROUND(F118-C118,2)</x:f>
        <x:v>0</x:v>
      </x:c>
      <x:c r="I118" s="21" t="n">
        <x:f>ROUND(E118-C118,2)</x:f>
        <x:v>0</x:v>
      </x:c>
      <x:c r="J118" s="17" t="str">
        <x:f>IF(B118=0,"SEM SERVIÇO NA GERAL",IF(D118=0,"SEM PAGANTE NO ARQUIVO",IF(H118=0,"BATE",IF(H118&lt;0,"PAGANTES A MENOS","PAGANTES A MAIS"))))</x:f>
        <x:v>BATE</x:v>
      </x:c>
    </x:row>
    <x:row r="119" ht="15" hidden="0" customHeight="1">
      <x:c r="A119" s="17" t="str">
        <x:v>OP-1134</x:v>
      </x:c>
      <x:c r="B119" s="17" t="n">
        <x:f>COUNTIF('Serviços'!$B$2:$B$1264,A119)</x:f>
        <x:v>19</x:v>
      </x:c>
      <x:c r="C119" s="21" t="n">
        <x:f>SUMIF('Serviços'!$B$2:$B$1264,A119,'Serviços'!$I$2:$I$1264)</x:f>
        <x:v>3272</x:v>
      </x:c>
      <x:c r="D119" s="21" t="n">
        <x:f>COUNTIF('Pagantes'!$B$2:$B$268,A119)</x:f>
        <x:v>0</x:v>
      </x:c>
      <x:c r="E119" s="21" t="n">
        <x:f>SUMIF('Pagantes'!$B$2:$B$268,A119,'Pagantes'!$D$2:$D$268)</x:f>
        <x:v>0</x:v>
      </x:c>
      <x:c r="F119" s="21" t="n">
        <x:f>SUMIFS('Pagantes'!$D$2:$D$268,'Pagantes'!$B$2:$B$268,A119,'Pagantes'!$E$2:$E$268,"&lt;&gt;Cancelado")</x:f>
        <x:v>0</x:v>
      </x:c>
      <x:c r="G119" s="21" t="n">
        <x:f>E119-F119</x:f>
        <x:v>0</x:v>
      </x:c>
      <x:c r="H119" s="21" t="n">
        <x:f>ROUND(F119-C119,2)</x:f>
        <x:v>-3272</x:v>
      </x:c>
      <x:c r="I119" s="21" t="n">
        <x:f>ROUND(E119-C119,2)</x:f>
        <x:v>-3272</x:v>
      </x:c>
      <x:c r="J119" s="17" t="str">
        <x:f>IF(B119=0,"SEM SERVIÇO NA GERAL",IF(D119=0,"SEM PAGANTE NO ARQUIVO",IF(H119=0,"BATE",IF(H119&lt;0,"PAGANTES A MENOS","PAGANTES A MAIS"))))</x:f>
        <x:v>SEM PAGANTE NO ARQUIVO</x:v>
      </x:c>
    </x:row>
    <x:row r="120" ht="15" hidden="0" customHeight="1">
      <x:c r="A120" s="17" t="str">
        <x:v>OP-1135</x:v>
      </x:c>
      <x:c r="B120" s="17" t="n">
        <x:f>COUNTIF('Serviços'!$B$2:$B$1264,A120)</x:f>
        <x:v>4</x:v>
      </x:c>
      <x:c r="C120" s="21" t="n">
        <x:f>SUMIF('Serviços'!$B$2:$B$1264,A120,'Serviços'!$I$2:$I$1264)</x:f>
        <x:v>2102.96</x:v>
      </x:c>
      <x:c r="D120" s="21" t="n">
        <x:f>COUNTIF('Pagantes'!$B$2:$B$268,A120)</x:f>
        <x:v>1</x:v>
      </x:c>
      <x:c r="E120" s="21" t="n">
        <x:f>SUMIF('Pagantes'!$B$2:$B$268,A120,'Pagantes'!$D$2:$D$268)</x:f>
        <x:v>2102.96</x:v>
      </x:c>
      <x:c r="F120" s="21" t="n">
        <x:f>SUMIFS('Pagantes'!$D$2:$D$268,'Pagantes'!$B$2:$B$268,A120,'Pagantes'!$E$2:$E$268,"&lt;&gt;Cancelado")</x:f>
        <x:v>2102.96</x:v>
      </x:c>
      <x:c r="G120" s="21" t="n">
        <x:f>E120-F120</x:f>
        <x:v>0</x:v>
      </x:c>
      <x:c r="H120" s="21" t="n">
        <x:f>ROUND(F120-C120,2)</x:f>
        <x:v>0</x:v>
      </x:c>
      <x:c r="I120" s="21" t="n">
        <x:f>ROUND(E120-C120,2)</x:f>
        <x:v>0</x:v>
      </x:c>
      <x:c r="J120" s="17" t="str">
        <x:f>IF(B120=0,"SEM SERVIÇO NA GERAL",IF(D120=0,"SEM PAGANTE NO ARQUIVO",IF(H120=0,"BATE",IF(H120&lt;0,"PAGANTES A MENOS","PAGANTES A MAIS"))))</x:f>
        <x:v>BATE</x:v>
      </x:c>
    </x:row>
    <x:row r="121" ht="15" hidden="0" customHeight="1">
      <x:c r="A121" s="17" t="str">
        <x:v>OP-1136</x:v>
      </x:c>
      <x:c r="B121" s="17" t="n">
        <x:f>COUNTIF('Serviços'!$B$2:$B$1264,A121)</x:f>
        <x:v>8</x:v>
      </x:c>
      <x:c r="C121" s="21" t="n">
        <x:f>SUMIF('Serviços'!$B$2:$B$1264,A121,'Serviços'!$I$2:$I$1264)</x:f>
        <x:v>0</x:v>
      </x:c>
      <x:c r="D121" s="21" t="n">
        <x:f>COUNTIF('Pagantes'!$B$2:$B$268,A121)</x:f>
        <x:v>0</x:v>
      </x:c>
      <x:c r="E121" s="21" t="n">
        <x:f>SUMIF('Pagantes'!$B$2:$B$268,A121,'Pagantes'!$D$2:$D$268)</x:f>
        <x:v>0</x:v>
      </x:c>
      <x:c r="F121" s="21" t="n">
        <x:f>SUMIFS('Pagantes'!$D$2:$D$268,'Pagantes'!$B$2:$B$268,A121,'Pagantes'!$E$2:$E$268,"&lt;&gt;Cancelado")</x:f>
        <x:v>0</x:v>
      </x:c>
      <x:c r="G121" s="21" t="n">
        <x:f>E121-F121</x:f>
        <x:v>0</x:v>
      </x:c>
      <x:c r="H121" s="21" t="n">
        <x:f>ROUND(F121-C121,2)</x:f>
        <x:v>0</x:v>
      </x:c>
      <x:c r="I121" s="21" t="n">
        <x:f>ROUND(E121-C121,2)</x:f>
        <x:v>0</x:v>
      </x:c>
      <x:c r="J121" s="17" t="str">
        <x:f>IF(B121=0,"SEM SERVIÇO NA GERAL",IF(D121=0,"SEM PAGANTE NO ARQUIVO",IF(H121=0,"BATE",IF(H121&lt;0,"PAGANTES A MENOS","PAGANTES A MAIS"))))</x:f>
        <x:v>SEM PAGANTE NO ARQUIVO</x:v>
      </x:c>
    </x:row>
    <x:row r="122" ht="15" hidden="0" customHeight="1">
      <x:c r="A122" s="17" t="str">
        <x:v>OP-1137</x:v>
      </x:c>
      <x:c r="B122" s="17" t="n">
        <x:f>COUNTIF('Serviços'!$B$2:$B$1264,A122)</x:f>
        <x:v>2</x:v>
      </x:c>
      <x:c r="C122" s="21" t="n">
        <x:f>SUMIF('Serviços'!$B$2:$B$1264,A122,'Serviços'!$I$2:$I$1264)</x:f>
        <x:v>1126</x:v>
      </x:c>
      <x:c r="D122" s="21" t="n">
        <x:f>COUNTIF('Pagantes'!$B$2:$B$268,A122)</x:f>
        <x:v>0</x:v>
      </x:c>
      <x:c r="E122" s="21" t="n">
        <x:f>SUMIF('Pagantes'!$B$2:$B$268,A122,'Pagantes'!$D$2:$D$268)</x:f>
        <x:v>0</x:v>
      </x:c>
      <x:c r="F122" s="21" t="n">
        <x:f>SUMIFS('Pagantes'!$D$2:$D$268,'Pagantes'!$B$2:$B$268,A122,'Pagantes'!$E$2:$E$268,"&lt;&gt;Cancelado")</x:f>
        <x:v>0</x:v>
      </x:c>
      <x:c r="G122" s="21" t="n">
        <x:f>E122-F122</x:f>
        <x:v>0</x:v>
      </x:c>
      <x:c r="H122" s="21" t="n">
        <x:f>ROUND(F122-C122,2)</x:f>
        <x:v>-1126</x:v>
      </x:c>
      <x:c r="I122" s="21" t="n">
        <x:f>ROUND(E122-C122,2)</x:f>
        <x:v>-1126</x:v>
      </x:c>
      <x:c r="J122" s="17" t="str">
        <x:f>IF(B122=0,"SEM SERVIÇO NA GERAL",IF(D122=0,"SEM PAGANTE NO ARQUIVO",IF(H122=0,"BATE",IF(H122&lt;0,"PAGANTES A MENOS","PAGANTES A MAIS"))))</x:f>
        <x:v>SEM PAGANTE NO ARQUIVO</x:v>
      </x:c>
    </x:row>
    <x:row r="123" ht="15" hidden="0" customHeight="1">
      <x:c r="A123" s="17" t="str">
        <x:v>OP-1138</x:v>
      </x:c>
      <x:c r="B123" s="17" t="n">
        <x:f>COUNTIF('Serviços'!$B$2:$B$1264,A123)</x:f>
        <x:v>2</x:v>
      </x:c>
      <x:c r="C123" s="21" t="n">
        <x:f>SUMIF('Serviços'!$B$2:$B$1264,A123,'Serviços'!$I$2:$I$1264)</x:f>
        <x:v>952.96</x:v>
      </x:c>
      <x:c r="D123" s="21" t="n">
        <x:f>COUNTIF('Pagantes'!$B$2:$B$268,A123)</x:f>
        <x:v>1</x:v>
      </x:c>
      <x:c r="E123" s="21" t="n">
        <x:f>SUMIF('Pagantes'!$B$2:$B$268,A123,'Pagantes'!$D$2:$D$268)</x:f>
        <x:v>952.96</x:v>
      </x:c>
      <x:c r="F123" s="21" t="n">
        <x:f>SUMIFS('Pagantes'!$D$2:$D$268,'Pagantes'!$B$2:$B$268,A123,'Pagantes'!$E$2:$E$268,"&lt;&gt;Cancelado")</x:f>
        <x:v>952.96</x:v>
      </x:c>
      <x:c r="G123" s="21" t="n">
        <x:f>E123-F123</x:f>
        <x:v>0</x:v>
      </x:c>
      <x:c r="H123" s="21" t="n">
        <x:f>ROUND(F123-C123,2)</x:f>
        <x:v>0</x:v>
      </x:c>
      <x:c r="I123" s="21" t="n">
        <x:f>ROUND(E123-C123,2)</x:f>
        <x:v>0</x:v>
      </x:c>
      <x:c r="J123" s="17" t="str">
        <x:f>IF(B123=0,"SEM SERVIÇO NA GERAL",IF(D123=0,"SEM PAGANTE NO ARQUIVO",IF(H123=0,"BATE",IF(H123&lt;0,"PAGANTES A MENOS","PAGANTES A MAIS"))))</x:f>
        <x:v>BATE</x:v>
      </x:c>
    </x:row>
    <x:row r="124" ht="15" hidden="0" customHeight="1">
      <x:c r="A124" s="17" t="str">
        <x:v>OP-1139</x:v>
      </x:c>
      <x:c r="B124" s="17" t="n">
        <x:f>COUNTIF('Serviços'!$B$2:$B$1264,A124)</x:f>
        <x:v>2</x:v>
      </x:c>
      <x:c r="C124" s="21" t="n">
        <x:f>SUMIF('Serviços'!$B$2:$B$1264,A124,'Serviços'!$I$2:$I$1264)</x:f>
        <x:v>952.96</x:v>
      </x:c>
      <x:c r="D124" s="21" t="n">
        <x:f>COUNTIF('Pagantes'!$B$2:$B$268,A124)</x:f>
        <x:v>1</x:v>
      </x:c>
      <x:c r="E124" s="21" t="n">
        <x:f>SUMIF('Pagantes'!$B$2:$B$268,A124,'Pagantes'!$D$2:$D$268)</x:f>
        <x:v>952.96</x:v>
      </x:c>
      <x:c r="F124" s="21" t="n">
        <x:f>SUMIFS('Pagantes'!$D$2:$D$268,'Pagantes'!$B$2:$B$268,A124,'Pagantes'!$E$2:$E$268,"&lt;&gt;Cancelado")</x:f>
        <x:v>952.96</x:v>
      </x:c>
      <x:c r="G124" s="21" t="n">
        <x:f>E124-F124</x:f>
        <x:v>0</x:v>
      </x:c>
      <x:c r="H124" s="21" t="n">
        <x:f>ROUND(F124-C124,2)</x:f>
        <x:v>0</x:v>
      </x:c>
      <x:c r="I124" s="21" t="n">
        <x:f>ROUND(E124-C124,2)</x:f>
        <x:v>0</x:v>
      </x:c>
      <x:c r="J124" s="17" t="str">
        <x:f>IF(B124=0,"SEM SERVIÇO NA GERAL",IF(D124=0,"SEM PAGANTE NO ARQUIVO",IF(H124=0,"BATE",IF(H124&lt;0,"PAGANTES A MENOS","PAGANTES A MAIS"))))</x:f>
        <x:v>BATE</x:v>
      </x:c>
    </x:row>
    <x:row r="125" ht="15" hidden="0" customHeight="1">
      <x:c r="A125" s="17" t="str">
        <x:v>OP-1140</x:v>
      </x:c>
      <x:c r="B125" s="17" t="n">
        <x:f>COUNTIF('Serviços'!$B$2:$B$1264,A125)</x:f>
        <x:v>2</x:v>
      </x:c>
      <x:c r="C125" s="21" t="n">
        <x:f>SUMIF('Serviços'!$B$2:$B$1264,A125,'Serviços'!$I$2:$I$1264)</x:f>
        <x:v>952.96</x:v>
      </x:c>
      <x:c r="D125" s="21" t="n">
        <x:f>COUNTIF('Pagantes'!$B$2:$B$268,A125)</x:f>
        <x:v>1</x:v>
      </x:c>
      <x:c r="E125" s="21" t="n">
        <x:f>SUMIF('Pagantes'!$B$2:$B$268,A125,'Pagantes'!$D$2:$D$268)</x:f>
        <x:v>952.96</x:v>
      </x:c>
      <x:c r="F125" s="21" t="n">
        <x:f>SUMIFS('Pagantes'!$D$2:$D$268,'Pagantes'!$B$2:$B$268,A125,'Pagantes'!$E$2:$E$268,"&lt;&gt;Cancelado")</x:f>
        <x:v>952.96</x:v>
      </x:c>
      <x:c r="G125" s="21" t="n">
        <x:f>E125-F125</x:f>
        <x:v>0</x:v>
      </x:c>
      <x:c r="H125" s="21" t="n">
        <x:f>ROUND(F125-C125,2)</x:f>
        <x:v>0</x:v>
      </x:c>
      <x:c r="I125" s="21" t="n">
        <x:f>ROUND(E125-C125,2)</x:f>
        <x:v>0</x:v>
      </x:c>
      <x:c r="J125" s="17" t="str">
        <x:f>IF(B125=0,"SEM SERVIÇO NA GERAL",IF(D125=0,"SEM PAGANTE NO ARQUIVO",IF(H125=0,"BATE",IF(H125&lt;0,"PAGANTES A MENOS","PAGANTES A MAIS"))))</x:f>
        <x:v>BATE</x:v>
      </x:c>
    </x:row>
    <x:row r="126" ht="15" hidden="0" customHeight="1">
      <x:c r="A126" s="17" t="str">
        <x:v>OP-1141</x:v>
      </x:c>
      <x:c r="B126" s="17" t="n">
        <x:f>COUNTIF('Serviços'!$B$2:$B$1264,A126)</x:f>
        <x:v>2</x:v>
      </x:c>
      <x:c r="C126" s="21" t="n">
        <x:f>SUMIF('Serviços'!$B$2:$B$1264,A126,'Serviços'!$I$2:$I$1264)</x:f>
        <x:v>1050.72</x:v>
      </x:c>
      <x:c r="D126" s="21" t="n">
        <x:f>COUNTIF('Pagantes'!$B$2:$B$268,A126)</x:f>
        <x:v>1</x:v>
      </x:c>
      <x:c r="E126" s="21" t="n">
        <x:f>SUMIF('Pagantes'!$B$2:$B$268,A126,'Pagantes'!$D$2:$D$268)</x:f>
        <x:v>1050.72</x:v>
      </x:c>
      <x:c r="F126" s="21" t="n">
        <x:f>SUMIFS('Pagantes'!$D$2:$D$268,'Pagantes'!$B$2:$B$268,A126,'Pagantes'!$E$2:$E$268,"&lt;&gt;Cancelado")</x:f>
        <x:v>1050.72</x:v>
      </x:c>
      <x:c r="G126" s="21" t="n">
        <x:f>E126-F126</x:f>
        <x:v>0</x:v>
      </x:c>
      <x:c r="H126" s="21" t="n">
        <x:f>ROUND(F126-C126,2)</x:f>
        <x:v>0</x:v>
      </x:c>
      <x:c r="I126" s="21" t="n">
        <x:f>ROUND(E126-C126,2)</x:f>
        <x:v>0</x:v>
      </x:c>
      <x:c r="J126" s="17" t="str">
        <x:f>IF(B126=0,"SEM SERVIÇO NA GERAL",IF(D126=0,"SEM PAGANTE NO ARQUIVO",IF(H126=0,"BATE",IF(H126&lt;0,"PAGANTES A MENOS","PAGANTES A MAIS"))))</x:f>
        <x:v>BATE</x:v>
      </x:c>
    </x:row>
    <x:row r="127" ht="15" hidden="0" customHeight="1">
      <x:c r="A127" s="17" t="str">
        <x:v>OP-1142</x:v>
      </x:c>
      <x:c r="B127" s="17" t="n">
        <x:f>COUNTIF('Serviços'!$B$2:$B$1264,A127)</x:f>
        <x:v>1</x:v>
      </x:c>
      <x:c r="C127" s="21" t="n">
        <x:f>SUMIF('Serviços'!$B$2:$B$1264,A127,'Serviços'!$I$2:$I$1264)</x:f>
        <x:v>670.49</x:v>
      </x:c>
      <x:c r="D127" s="21" t="n">
        <x:f>COUNTIF('Pagantes'!$B$2:$B$268,A127)</x:f>
        <x:v>1</x:v>
      </x:c>
      <x:c r="E127" s="21" t="n">
        <x:f>SUMIF('Pagantes'!$B$2:$B$268,A127,'Pagantes'!$D$2:$D$268)</x:f>
        <x:v>670.49</x:v>
      </x:c>
      <x:c r="F127" s="21" t="n">
        <x:f>SUMIFS('Pagantes'!$D$2:$D$268,'Pagantes'!$B$2:$B$268,A127,'Pagantes'!$E$2:$E$268,"&lt;&gt;Cancelado")</x:f>
        <x:v>670.49</x:v>
      </x:c>
      <x:c r="G127" s="21" t="n">
        <x:f>E127-F127</x:f>
        <x:v>0</x:v>
      </x:c>
      <x:c r="H127" s="21" t="n">
        <x:f>ROUND(F127-C127,2)</x:f>
        <x:v>0</x:v>
      </x:c>
      <x:c r="I127" s="21" t="n">
        <x:f>ROUND(E127-C127,2)</x:f>
        <x:v>0</x:v>
      </x:c>
      <x:c r="J127" s="17" t="str">
        <x:f>IF(B127=0,"SEM SERVIÇO NA GERAL",IF(D127=0,"SEM PAGANTE NO ARQUIVO",IF(H127=0,"BATE",IF(H127&lt;0,"PAGANTES A MENOS","PAGANTES A MAIS"))))</x:f>
        <x:v>BATE</x:v>
      </x:c>
    </x:row>
    <x:row r="128" ht="15" hidden="0" customHeight="1">
      <x:c r="A128" s="17" t="str">
        <x:v>OP-1143</x:v>
      </x:c>
      <x:c r="B128" s="17" t="n">
        <x:f>COUNTIF('Serviços'!$B$2:$B$1264,A128)</x:f>
        <x:v>2</x:v>
      </x:c>
      <x:c r="C128" s="21" t="n">
        <x:f>SUMIF('Serviços'!$B$2:$B$1264,A128,'Serviços'!$I$2:$I$1264)</x:f>
        <x:v>1163.66</x:v>
      </x:c>
      <x:c r="D128" s="21" t="n">
        <x:f>COUNTIF('Pagantes'!$B$2:$B$268,A128)</x:f>
        <x:v>2</x:v>
      </x:c>
      <x:c r="E128" s="21" t="n">
        <x:f>SUMIF('Pagantes'!$B$2:$B$268,A128,'Pagantes'!$D$2:$D$268)</x:f>
        <x:v>1163.66</x:v>
      </x:c>
      <x:c r="F128" s="21" t="n">
        <x:f>SUMIFS('Pagantes'!$D$2:$D$268,'Pagantes'!$B$2:$B$268,A128,'Pagantes'!$E$2:$E$268,"&lt;&gt;Cancelado")</x:f>
        <x:v>1163.66</x:v>
      </x:c>
      <x:c r="G128" s="21" t="n">
        <x:f>E128-F128</x:f>
        <x:v>0</x:v>
      </x:c>
      <x:c r="H128" s="21" t="n">
        <x:f>ROUND(F128-C128,2)</x:f>
        <x:v>0</x:v>
      </x:c>
      <x:c r="I128" s="21" t="n">
        <x:f>ROUND(E128-C128,2)</x:f>
        <x:v>0</x:v>
      </x:c>
      <x:c r="J128" s="17" t="str">
        <x:f>IF(B128=0,"SEM SERVIÇO NA GERAL",IF(D128=0,"SEM PAGANTE NO ARQUIVO",IF(H128=0,"BATE",IF(H128&lt;0,"PAGANTES A MENOS","PAGANTES A MAIS"))))</x:f>
        <x:v>BATE</x:v>
      </x:c>
    </x:row>
    <x:row r="129" ht="15" hidden="0" customHeight="1">
      <x:c r="A129" s="17" t="str">
        <x:v>OP-1144</x:v>
      </x:c>
      <x:c r="B129" s="17" t="n">
        <x:f>COUNTIF('Serviços'!$B$2:$B$1264,A129)</x:f>
        <x:v>2</x:v>
      </x:c>
      <x:c r="C129" s="21" t="n">
        <x:f>SUMIF('Serviços'!$B$2:$B$1264,A129,'Serviços'!$I$2:$I$1264)</x:f>
        <x:v>958.94</x:v>
      </x:c>
      <x:c r="D129" s="21" t="n">
        <x:f>COUNTIF('Pagantes'!$B$2:$B$268,A129)</x:f>
        <x:v>2</x:v>
      </x:c>
      <x:c r="E129" s="21" t="n">
        <x:f>SUMIF('Pagantes'!$B$2:$B$268,A129,'Pagantes'!$D$2:$D$268)</x:f>
        <x:v>958.94</x:v>
      </x:c>
      <x:c r="F129" s="21" t="n">
        <x:f>SUMIFS('Pagantes'!$D$2:$D$268,'Pagantes'!$B$2:$B$268,A129,'Pagantes'!$E$2:$E$268,"&lt;&gt;Cancelado")</x:f>
        <x:v>958.94</x:v>
      </x:c>
      <x:c r="G129" s="21" t="n">
        <x:f>E129-F129</x:f>
        <x:v>0</x:v>
      </x:c>
      <x:c r="H129" s="21" t="n">
        <x:f>ROUND(F129-C129,2)</x:f>
        <x:v>0</x:v>
      </x:c>
      <x:c r="I129" s="21" t="n">
        <x:f>ROUND(E129-C129,2)</x:f>
        <x:v>0</x:v>
      </x:c>
      <x:c r="J129" s="17" t="str">
        <x:f>IF(B129=0,"SEM SERVIÇO NA GERAL",IF(D129=0,"SEM PAGANTE NO ARQUIVO",IF(H129=0,"BATE",IF(H129&lt;0,"PAGANTES A MENOS","PAGANTES A MAIS"))))</x:f>
        <x:v>BATE</x:v>
      </x:c>
    </x:row>
    <x:row r="130" ht="15" hidden="0" customHeight="1">
      <x:c r="A130" s="17" t="str">
        <x:v>OP-1145</x:v>
      </x:c>
      <x:c r="B130" s="17" t="n">
        <x:f>COUNTIF('Serviços'!$B$2:$B$1264,A130)</x:f>
        <x:v>1</x:v>
      </x:c>
      <x:c r="C130" s="21" t="n">
        <x:f>SUMIF('Serviços'!$B$2:$B$1264,A130,'Serviços'!$I$2:$I$1264)</x:f>
        <x:v>690</x:v>
      </x:c>
      <x:c r="D130" s="21" t="n">
        <x:f>COUNTIF('Pagantes'!$B$2:$B$268,A130)</x:f>
        <x:v>0</x:v>
      </x:c>
      <x:c r="E130" s="21" t="n">
        <x:f>SUMIF('Pagantes'!$B$2:$B$268,A130,'Pagantes'!$D$2:$D$268)</x:f>
        <x:v>0</x:v>
      </x:c>
      <x:c r="F130" s="21" t="n">
        <x:f>SUMIFS('Pagantes'!$D$2:$D$268,'Pagantes'!$B$2:$B$268,A130,'Pagantes'!$E$2:$E$268,"&lt;&gt;Cancelado")</x:f>
        <x:v>0</x:v>
      </x:c>
      <x:c r="G130" s="21" t="n">
        <x:f>E130-F130</x:f>
        <x:v>0</x:v>
      </x:c>
      <x:c r="H130" s="21" t="n">
        <x:f>ROUND(F130-C130,2)</x:f>
        <x:v>-690</x:v>
      </x:c>
      <x:c r="I130" s="21" t="n">
        <x:f>ROUND(E130-C130,2)</x:f>
        <x:v>-690</x:v>
      </x:c>
      <x:c r="J130" s="17" t="str">
        <x:f>IF(B130=0,"SEM SERVIÇO NA GERAL",IF(D130=0,"SEM PAGANTE NO ARQUIVO",IF(H130=0,"BATE",IF(H130&lt;0,"PAGANTES A MENOS","PAGANTES A MAIS"))))</x:f>
        <x:v>SEM PAGANTE NO ARQUIVO</x:v>
      </x:c>
    </x:row>
    <x:row r="131" ht="15" hidden="0" customHeight="1">
      <x:c r="A131" s="17" t="str">
        <x:v>OP-1146</x:v>
      </x:c>
      <x:c r="B131" s="17" t="n">
        <x:f>COUNTIF('Serviços'!$B$2:$B$1264,A131)</x:f>
        <x:v>2</x:v>
      </x:c>
      <x:c r="C131" s="21" t="n">
        <x:f>SUMIF('Serviços'!$B$2:$B$1264,A131,'Serviços'!$I$2:$I$1264)</x:f>
        <x:v>736</x:v>
      </x:c>
      <x:c r="D131" s="21" t="n">
        <x:f>COUNTIF('Pagantes'!$B$2:$B$268,A131)</x:f>
        <x:v>0</x:v>
      </x:c>
      <x:c r="E131" s="21" t="n">
        <x:f>SUMIF('Pagantes'!$B$2:$B$268,A131,'Pagantes'!$D$2:$D$268)</x:f>
        <x:v>0</x:v>
      </x:c>
      <x:c r="F131" s="21" t="n">
        <x:f>SUMIFS('Pagantes'!$D$2:$D$268,'Pagantes'!$B$2:$B$268,A131,'Pagantes'!$E$2:$E$268,"&lt;&gt;Cancelado")</x:f>
        <x:v>0</x:v>
      </x:c>
      <x:c r="G131" s="21" t="n">
        <x:f>E131-F131</x:f>
        <x:v>0</x:v>
      </x:c>
      <x:c r="H131" s="21" t="n">
        <x:f>ROUND(F131-C131,2)</x:f>
        <x:v>-736</x:v>
      </x:c>
      <x:c r="I131" s="21" t="n">
        <x:f>ROUND(E131-C131,2)</x:f>
        <x:v>-736</x:v>
      </x:c>
      <x:c r="J131" s="17" t="str">
        <x:f>IF(B131=0,"SEM SERVIÇO NA GERAL",IF(D131=0,"SEM PAGANTE NO ARQUIVO",IF(H131=0,"BATE",IF(H131&lt;0,"PAGANTES A MENOS","PAGANTES A MAIS"))))</x:f>
        <x:v>SEM PAGANTE NO ARQUIVO</x:v>
      </x:c>
    </x:row>
    <x:row r="132" ht="15" hidden="0" customHeight="1">
      <x:c r="A132" s="17" t="str">
        <x:v>OP-1147</x:v>
      </x:c>
      <x:c r="B132" s="17" t="n">
        <x:f>COUNTIF('Serviços'!$B$2:$B$1264,A132)</x:f>
        <x:v>42</x:v>
      </x:c>
      <x:c r="C132" s="21" t="n">
        <x:f>SUMIF('Serviços'!$B$2:$B$1264,A132,'Serviços'!$I$2:$I$1264)</x:f>
        <x:v>33623.60999999999</x:v>
      </x:c>
      <x:c r="D132" s="21" t="n">
        <x:f>COUNTIF('Pagantes'!$B$2:$B$268,A132)</x:f>
        <x:v>0</x:v>
      </x:c>
      <x:c r="E132" s="21" t="n">
        <x:f>SUMIF('Pagantes'!$B$2:$B$268,A132,'Pagantes'!$D$2:$D$268)</x:f>
        <x:v>0</x:v>
      </x:c>
      <x:c r="F132" s="21" t="n">
        <x:f>SUMIFS('Pagantes'!$D$2:$D$268,'Pagantes'!$B$2:$B$268,A132,'Pagantes'!$E$2:$E$268,"&lt;&gt;Cancelado")</x:f>
        <x:v>0</x:v>
      </x:c>
      <x:c r="G132" s="21" t="n">
        <x:f>E132-F132</x:f>
        <x:v>0</x:v>
      </x:c>
      <x:c r="H132" s="21" t="n">
        <x:f>ROUND(F132-C132,2)</x:f>
        <x:v>-33623.61</x:v>
      </x:c>
      <x:c r="I132" s="21" t="n">
        <x:f>ROUND(E132-C132,2)</x:f>
        <x:v>-33623.61</x:v>
      </x:c>
      <x:c r="J132" s="17" t="str">
        <x:f>IF(B132=0,"SEM SERVIÇO NA GERAL",IF(D132=0,"SEM PAGANTE NO ARQUIVO",IF(H132=0,"BATE",IF(H132&lt;0,"PAGANTES A MENOS","PAGANTES A MAIS"))))</x:f>
        <x:v>SEM PAGANTE NO ARQUIVO</x:v>
      </x:c>
    </x:row>
    <x:row r="133" ht="15" hidden="0" customHeight="1">
      <x:c r="A133" s="17" t="str">
        <x:v>OP-1148</x:v>
      </x:c>
      <x:c r="B133" s="17" t="n">
        <x:f>COUNTIF('Serviços'!$B$2:$B$1264,A133)</x:f>
        <x:v>1</x:v>
      </x:c>
      <x:c r="C133" s="21" t="n">
        <x:f>SUMIF('Serviços'!$B$2:$B$1264,A133,'Serviços'!$I$2:$I$1264)</x:f>
        <x:v>2651.03</x:v>
      </x:c>
      <x:c r="D133" s="21" t="n">
        <x:f>COUNTIF('Pagantes'!$B$2:$B$268,A133)</x:f>
        <x:v>1</x:v>
      </x:c>
      <x:c r="E133" s="21" t="n">
        <x:f>SUMIF('Pagantes'!$B$2:$B$268,A133,'Pagantes'!$D$2:$D$268)</x:f>
        <x:v>2651.03</x:v>
      </x:c>
      <x:c r="F133" s="21" t="n">
        <x:f>SUMIFS('Pagantes'!$D$2:$D$268,'Pagantes'!$B$2:$B$268,A133,'Pagantes'!$E$2:$E$268,"&lt;&gt;Cancelado")</x:f>
        <x:v>2651.03</x:v>
      </x:c>
      <x:c r="G133" s="21" t="n">
        <x:f>E133-F133</x:f>
        <x:v>0</x:v>
      </x:c>
      <x:c r="H133" s="21" t="n">
        <x:f>ROUND(F133-C133,2)</x:f>
        <x:v>0</x:v>
      </x:c>
      <x:c r="I133" s="21" t="n">
        <x:f>ROUND(E133-C133,2)</x:f>
        <x:v>0</x:v>
      </x:c>
      <x:c r="J133" s="17" t="str">
        <x:f>IF(B133=0,"SEM SERVIÇO NA GERAL",IF(D133=0,"SEM PAGANTE NO ARQUIVO",IF(H133=0,"BATE",IF(H133&lt;0,"PAGANTES A MENOS","PAGANTES A MAIS"))))</x:f>
        <x:v>BATE</x:v>
      </x:c>
    </x:row>
    <x:row r="134" ht="15" hidden="0" customHeight="1">
      <x:c r="A134" s="17" t="str">
        <x:v>OP-1149</x:v>
      </x:c>
      <x:c r="B134" s="17" t="n">
        <x:f>COUNTIF('Serviços'!$B$2:$B$1264,A134)</x:f>
        <x:v>1</x:v>
      </x:c>
      <x:c r="C134" s="21" t="n">
        <x:f>SUMIF('Serviços'!$B$2:$B$1264,A134,'Serviços'!$I$2:$I$1264)</x:f>
        <x:v>1590</x:v>
      </x:c>
      <x:c r="D134" s="21" t="n">
        <x:f>COUNTIF('Pagantes'!$B$2:$B$268,A134)</x:f>
        <x:v>1</x:v>
      </x:c>
      <x:c r="E134" s="21" t="n">
        <x:f>SUMIF('Pagantes'!$B$2:$B$268,A134,'Pagantes'!$D$2:$D$268)</x:f>
        <x:v>1590</x:v>
      </x:c>
      <x:c r="F134" s="21" t="n">
        <x:f>SUMIFS('Pagantes'!$D$2:$D$268,'Pagantes'!$B$2:$B$268,A134,'Pagantes'!$E$2:$E$268,"&lt;&gt;Cancelado")</x:f>
        <x:v>1590</x:v>
      </x:c>
      <x:c r="G134" s="21" t="n">
        <x:f>E134-F134</x:f>
        <x:v>0</x:v>
      </x:c>
      <x:c r="H134" s="21" t="n">
        <x:f>ROUND(F134-C134,2)</x:f>
        <x:v>0</x:v>
      </x:c>
      <x:c r="I134" s="21" t="n">
        <x:f>ROUND(E134-C134,2)</x:f>
        <x:v>0</x:v>
      </x:c>
      <x:c r="J134" s="17" t="str">
        <x:f>IF(B134=0,"SEM SERVIÇO NA GERAL",IF(D134=0,"SEM PAGANTE NO ARQUIVO",IF(H134=0,"BATE",IF(H134&lt;0,"PAGANTES A MENOS","PAGANTES A MAIS"))))</x:f>
        <x:v>BATE</x:v>
      </x:c>
    </x:row>
    <x:row r="135" ht="15" hidden="0" customHeight="1">
      <x:c r="A135" s="17" t="str">
        <x:v>OP-1150</x:v>
      </x:c>
      <x:c r="B135" s="17" t="n">
        <x:f>COUNTIF('Serviços'!$B$2:$B$1264,A135)</x:f>
        <x:v>1</x:v>
      </x:c>
      <x:c r="C135" s="21" t="n">
        <x:f>SUMIF('Serviços'!$B$2:$B$1264,A135,'Serviços'!$I$2:$I$1264)</x:f>
        <x:v>442.98</x:v>
      </x:c>
      <x:c r="D135" s="21" t="n">
        <x:f>COUNTIF('Pagantes'!$B$2:$B$268,A135)</x:f>
        <x:v>1</x:v>
      </x:c>
      <x:c r="E135" s="21" t="n">
        <x:f>SUMIF('Pagantes'!$B$2:$B$268,A135,'Pagantes'!$D$2:$D$268)</x:f>
        <x:v>442.98</x:v>
      </x:c>
      <x:c r="F135" s="21" t="n">
        <x:f>SUMIFS('Pagantes'!$D$2:$D$268,'Pagantes'!$B$2:$B$268,A135,'Pagantes'!$E$2:$E$268,"&lt;&gt;Cancelado")</x:f>
        <x:v>442.98</x:v>
      </x:c>
      <x:c r="G135" s="21" t="n">
        <x:f>E135-F135</x:f>
        <x:v>0</x:v>
      </x:c>
      <x:c r="H135" s="21" t="n">
        <x:f>ROUND(F135-C135,2)</x:f>
        <x:v>0</x:v>
      </x:c>
      <x:c r="I135" s="21" t="n">
        <x:f>ROUND(E135-C135,2)</x:f>
        <x:v>0</x:v>
      </x:c>
      <x:c r="J135" s="17" t="str">
        <x:f>IF(B135=0,"SEM SERVIÇO NA GERAL",IF(D135=0,"SEM PAGANTE NO ARQUIVO",IF(H135=0,"BATE",IF(H135&lt;0,"PAGANTES A MENOS","PAGANTES A MAIS"))))</x:f>
        <x:v>BATE</x:v>
      </x:c>
    </x:row>
    <x:row r="136" ht="15" hidden="0" customHeight="1">
      <x:c r="A136" s="17" t="str">
        <x:v>OP-1152</x:v>
      </x:c>
      <x:c r="B136" s="17" t="n">
        <x:f>COUNTIF('Serviços'!$B$2:$B$1264,A136)</x:f>
        <x:v>1</x:v>
      </x:c>
      <x:c r="C136" s="21" t="n">
        <x:f>SUMIF('Serviços'!$B$2:$B$1264,A136,'Serviços'!$I$2:$I$1264)</x:f>
        <x:v>1011.53</x:v>
      </x:c>
      <x:c r="D136" s="21" t="n">
        <x:f>COUNTIF('Pagantes'!$B$2:$B$268,A136)</x:f>
        <x:v>1</x:v>
      </x:c>
      <x:c r="E136" s="21" t="n">
        <x:f>SUMIF('Pagantes'!$B$2:$B$268,A136,'Pagantes'!$D$2:$D$268)</x:f>
        <x:v>1011.53</x:v>
      </x:c>
      <x:c r="F136" s="21" t="n">
        <x:f>SUMIFS('Pagantes'!$D$2:$D$268,'Pagantes'!$B$2:$B$268,A136,'Pagantes'!$E$2:$E$268,"&lt;&gt;Cancelado")</x:f>
        <x:v>1011.53</x:v>
      </x:c>
      <x:c r="G136" s="21" t="n">
        <x:f>E136-F136</x:f>
        <x:v>0</x:v>
      </x:c>
      <x:c r="H136" s="21" t="n">
        <x:f>ROUND(F136-C136,2)</x:f>
        <x:v>0</x:v>
      </x:c>
      <x:c r="I136" s="21" t="n">
        <x:f>ROUND(E136-C136,2)</x:f>
        <x:v>0</x:v>
      </x:c>
      <x:c r="J136" s="17" t="str">
        <x:f>IF(B136=0,"SEM SERVIÇO NA GERAL",IF(D136=0,"SEM PAGANTE NO ARQUIVO",IF(H136=0,"BATE",IF(H136&lt;0,"PAGANTES A MENOS","PAGANTES A MAIS"))))</x:f>
        <x:v>BATE</x:v>
      </x:c>
    </x:row>
    <x:row r="137" ht="15" hidden="0" customHeight="1">
      <x:c r="A137" s="17" t="str">
        <x:v>OP-1153</x:v>
      </x:c>
      <x:c r="B137" s="17" t="n">
        <x:f>COUNTIF('Serviços'!$B$2:$B$1264,A137)</x:f>
        <x:v>2</x:v>
      </x:c>
      <x:c r="C137" s="21" t="n">
        <x:f>SUMIF('Serviços'!$B$2:$B$1264,A137,'Serviços'!$I$2:$I$1264)</x:f>
        <x:v>1159.1</x:v>
      </x:c>
      <x:c r="D137" s="21" t="n">
        <x:f>COUNTIF('Pagantes'!$B$2:$B$268,A137)</x:f>
        <x:v>1</x:v>
      </x:c>
      <x:c r="E137" s="21" t="n">
        <x:f>SUMIF('Pagantes'!$B$2:$B$268,A137,'Pagantes'!$D$2:$D$268)</x:f>
        <x:v>1159.1</x:v>
      </x:c>
      <x:c r="F137" s="21" t="n">
        <x:f>SUMIFS('Pagantes'!$D$2:$D$268,'Pagantes'!$B$2:$B$268,A137,'Pagantes'!$E$2:$E$268,"&lt;&gt;Cancelado")</x:f>
        <x:v>1159.1</x:v>
      </x:c>
      <x:c r="G137" s="21" t="n">
        <x:f>E137-F137</x:f>
        <x:v>0</x:v>
      </x:c>
      <x:c r="H137" s="21" t="n">
        <x:f>ROUND(F137-C137,2)</x:f>
        <x:v>0</x:v>
      </x:c>
      <x:c r="I137" s="21" t="n">
        <x:f>ROUND(E137-C137,2)</x:f>
        <x:v>0</x:v>
      </x:c>
      <x:c r="J137" s="17" t="str">
        <x:f>IF(B137=0,"SEM SERVIÇO NA GERAL",IF(D137=0,"SEM PAGANTE NO ARQUIVO",IF(H137=0,"BATE",IF(H137&lt;0,"PAGANTES A MENOS","PAGANTES A MAIS"))))</x:f>
        <x:v>BATE</x:v>
      </x:c>
    </x:row>
    <x:row r="138" ht="15" hidden="0" customHeight="1">
      <x:c r="A138" s="17" t="str">
        <x:v>OP-1154</x:v>
      </x:c>
      <x:c r="B138" s="17" t="n">
        <x:f>COUNTIF('Serviços'!$B$2:$B$1264,A138)</x:f>
        <x:v>1</x:v>
      </x:c>
      <x:c r="C138" s="21" t="n">
        <x:f>SUMIF('Serviços'!$B$2:$B$1264,A138,'Serviços'!$I$2:$I$1264)</x:f>
        <x:v>1109.29</x:v>
      </x:c>
      <x:c r="D138" s="21" t="n">
        <x:f>COUNTIF('Pagantes'!$B$2:$B$268,A138)</x:f>
        <x:v>1</x:v>
      </x:c>
      <x:c r="E138" s="21" t="n">
        <x:f>SUMIF('Pagantes'!$B$2:$B$268,A138,'Pagantes'!$D$2:$D$268)</x:f>
        <x:v>1109.29</x:v>
      </x:c>
      <x:c r="F138" s="21" t="n">
        <x:f>SUMIFS('Pagantes'!$D$2:$D$268,'Pagantes'!$B$2:$B$268,A138,'Pagantes'!$E$2:$E$268,"&lt;&gt;Cancelado")</x:f>
        <x:v>1109.29</x:v>
      </x:c>
      <x:c r="G138" s="21" t="n">
        <x:f>E138-F138</x:f>
        <x:v>0</x:v>
      </x:c>
      <x:c r="H138" s="21" t="n">
        <x:f>ROUND(F138-C138,2)</x:f>
        <x:v>0</x:v>
      </x:c>
      <x:c r="I138" s="21" t="n">
        <x:f>ROUND(E138-C138,2)</x:f>
        <x:v>0</x:v>
      </x:c>
      <x:c r="J138" s="17" t="str">
        <x:f>IF(B138=0,"SEM SERVIÇO NA GERAL",IF(D138=0,"SEM PAGANTE NO ARQUIVO",IF(H138=0,"BATE",IF(H138&lt;0,"PAGANTES A MENOS","PAGANTES A MAIS"))))</x:f>
        <x:v>BATE</x:v>
      </x:c>
    </x:row>
    <x:row r="139" ht="15" hidden="0" customHeight="1">
      <x:c r="A139" s="17" t="str">
        <x:v>OP-1155</x:v>
      </x:c>
      <x:c r="B139" s="17" t="n">
        <x:f>COUNTIF('Serviços'!$B$2:$B$1264,A139)</x:f>
        <x:v>2</x:v>
      </x:c>
      <x:c r="C139" s="21" t="n">
        <x:f>SUMIF('Serviços'!$B$2:$B$1264,A139,'Serviços'!$I$2:$I$1264)</x:f>
        <x:v>2023.06</x:v>
      </x:c>
      <x:c r="D139" s="21" t="n">
        <x:f>COUNTIF('Pagantes'!$B$2:$B$268,A139)</x:f>
        <x:v>1</x:v>
      </x:c>
      <x:c r="E139" s="21" t="n">
        <x:f>SUMIF('Pagantes'!$B$2:$B$268,A139,'Pagantes'!$D$2:$D$268)</x:f>
        <x:v>2023.06</x:v>
      </x:c>
      <x:c r="F139" s="21" t="n">
        <x:f>SUMIFS('Pagantes'!$D$2:$D$268,'Pagantes'!$B$2:$B$268,A139,'Pagantes'!$E$2:$E$268,"&lt;&gt;Cancelado")</x:f>
        <x:v>2023.06</x:v>
      </x:c>
      <x:c r="G139" s="21" t="n">
        <x:f>E139-F139</x:f>
        <x:v>0</x:v>
      </x:c>
      <x:c r="H139" s="21" t="n">
        <x:f>ROUND(F139-C139,2)</x:f>
        <x:v>0</x:v>
      </x:c>
      <x:c r="I139" s="21" t="n">
        <x:f>ROUND(E139-C139,2)</x:f>
        <x:v>0</x:v>
      </x:c>
      <x:c r="J139" s="17" t="str">
        <x:f>IF(B139=0,"SEM SERVIÇO NA GERAL",IF(D139=0,"SEM PAGANTE NO ARQUIVO",IF(H139=0,"BATE",IF(H139&lt;0,"PAGANTES A MENOS","PAGANTES A MAIS"))))</x:f>
        <x:v>BATE</x:v>
      </x:c>
    </x:row>
    <x:row r="140" ht="15" hidden="0" customHeight="1">
      <x:c r="A140" s="17" t="str">
        <x:v>OP-1156</x:v>
      </x:c>
      <x:c r="B140" s="17" t="n">
        <x:f>COUNTIF('Serviços'!$B$2:$B$1264,A140)</x:f>
        <x:v>1</x:v>
      </x:c>
      <x:c r="C140" s="21" t="n">
        <x:f>SUMIF('Serviços'!$B$2:$B$1264,A140,'Serviços'!$I$2:$I$1264)</x:f>
        <x:v>1207.05</x:v>
      </x:c>
      <x:c r="D140" s="21" t="n">
        <x:f>COUNTIF('Pagantes'!$B$2:$B$268,A140)</x:f>
        <x:v>1</x:v>
      </x:c>
      <x:c r="E140" s="21" t="n">
        <x:f>SUMIF('Pagantes'!$B$2:$B$268,A140,'Pagantes'!$D$2:$D$268)</x:f>
        <x:v>1207.05</x:v>
      </x:c>
      <x:c r="F140" s="21" t="n">
        <x:f>SUMIFS('Pagantes'!$D$2:$D$268,'Pagantes'!$B$2:$B$268,A140,'Pagantes'!$E$2:$E$268,"&lt;&gt;Cancelado")</x:f>
        <x:v>1207.05</x:v>
      </x:c>
      <x:c r="G140" s="21" t="n">
        <x:f>E140-F140</x:f>
        <x:v>0</x:v>
      </x:c>
      <x:c r="H140" s="21" t="n">
        <x:f>ROUND(F140-C140,2)</x:f>
        <x:v>0</x:v>
      </x:c>
      <x:c r="I140" s="21" t="n">
        <x:f>ROUND(E140-C140,2)</x:f>
        <x:v>0</x:v>
      </x:c>
      <x:c r="J140" s="17" t="str">
        <x:f>IF(B140=0,"SEM SERVIÇO NA GERAL",IF(D140=0,"SEM PAGANTE NO ARQUIVO",IF(H140=0,"BATE",IF(H140&lt;0,"PAGANTES A MENOS","PAGANTES A MAIS"))))</x:f>
        <x:v>BATE</x:v>
      </x:c>
    </x:row>
    <x:row r="141" ht="15" hidden="0" customHeight="1">
      <x:c r="A141" s="17" t="str">
        <x:v>OP-1157</x:v>
      </x:c>
      <x:c r="B141" s="17" t="n">
        <x:f>COUNTIF('Serviços'!$B$2:$B$1264,A141)</x:f>
        <x:v>1</x:v>
      </x:c>
      <x:c r="C141" s="21" t="n">
        <x:f>SUMIF('Serviços'!$B$2:$B$1264,A141,'Serviços'!$I$2:$I$1264)</x:f>
        <x:v>1209.29</x:v>
      </x:c>
      <x:c r="D141" s="21" t="n">
        <x:f>COUNTIF('Pagantes'!$B$2:$B$268,A141)</x:f>
        <x:v>1</x:v>
      </x:c>
      <x:c r="E141" s="21" t="n">
        <x:f>SUMIF('Pagantes'!$B$2:$B$268,A141,'Pagantes'!$D$2:$D$268)</x:f>
        <x:v>1209.29</x:v>
      </x:c>
      <x:c r="F141" s="21" t="n">
        <x:f>SUMIFS('Pagantes'!$D$2:$D$268,'Pagantes'!$B$2:$B$268,A141,'Pagantes'!$E$2:$E$268,"&lt;&gt;Cancelado")</x:f>
        <x:v>1209.29</x:v>
      </x:c>
      <x:c r="G141" s="21" t="n">
        <x:f>E141-F141</x:f>
        <x:v>0</x:v>
      </x:c>
      <x:c r="H141" s="21" t="n">
        <x:f>ROUND(F141-C141,2)</x:f>
        <x:v>0</x:v>
      </x:c>
      <x:c r="I141" s="21" t="n">
        <x:f>ROUND(E141-C141,2)</x:f>
        <x:v>0</x:v>
      </x:c>
      <x:c r="J141" s="17" t="str">
        <x:f>IF(B141=0,"SEM SERVIÇO NA GERAL",IF(D141=0,"SEM PAGANTE NO ARQUIVO",IF(H141=0,"BATE",IF(H141&lt;0,"PAGANTES A MENOS","PAGANTES A MAIS"))))</x:f>
        <x:v>BATE</x:v>
      </x:c>
    </x:row>
    <x:row r="142" ht="15" hidden="0" customHeight="1">
      <x:c r="A142" s="17" t="str">
        <x:v>OP-1158</x:v>
      </x:c>
      <x:c r="B142" s="17" t="n">
        <x:f>COUNTIF('Serviços'!$B$2:$B$1264,A142)</x:f>
        <x:v>1</x:v>
      </x:c>
      <x:c r="C142" s="21" t="n">
        <x:f>SUMIF('Serviços'!$B$2:$B$1264,A142,'Serviços'!$I$2:$I$1264)</x:f>
        <x:v>1204.29</x:v>
      </x:c>
      <x:c r="D142" s="21" t="n">
        <x:f>COUNTIF('Pagantes'!$B$2:$B$268,A142)</x:f>
        <x:v>1</x:v>
      </x:c>
      <x:c r="E142" s="21" t="n">
        <x:f>SUMIF('Pagantes'!$B$2:$B$268,A142,'Pagantes'!$D$2:$D$268)</x:f>
        <x:v>1204.29</x:v>
      </x:c>
      <x:c r="F142" s="21" t="n">
        <x:f>SUMIFS('Pagantes'!$D$2:$D$268,'Pagantes'!$B$2:$B$268,A142,'Pagantes'!$E$2:$E$268,"&lt;&gt;Cancelado")</x:f>
        <x:v>1204.29</x:v>
      </x:c>
      <x:c r="G142" s="21" t="n">
        <x:f>E142-F142</x:f>
        <x:v>0</x:v>
      </x:c>
      <x:c r="H142" s="21" t="n">
        <x:f>ROUND(F142-C142,2)</x:f>
        <x:v>0</x:v>
      </x:c>
      <x:c r="I142" s="21" t="n">
        <x:f>ROUND(E142-C142,2)</x:f>
        <x:v>0</x:v>
      </x:c>
      <x:c r="J142" s="17" t="str">
        <x:f>IF(B142=0,"SEM SERVIÇO NA GERAL",IF(D142=0,"SEM PAGANTE NO ARQUIVO",IF(H142=0,"BATE",IF(H142&lt;0,"PAGANTES A MENOS","PAGANTES A MAIS"))))</x:f>
        <x:v>BATE</x:v>
      </x:c>
    </x:row>
    <x:row r="143" ht="15" hidden="0" customHeight="1">
      <x:c r="A143" s="17" t="str">
        <x:v>OP-1159</x:v>
      </x:c>
      <x:c r="B143" s="17" t="n">
        <x:f>COUNTIF('Serviços'!$B$2:$B$1264,A143)</x:f>
        <x:v>6</x:v>
      </x:c>
      <x:c r="C143" s="21" t="n">
        <x:f>SUMIF('Serviços'!$B$2:$B$1264,A143,'Serviços'!$I$2:$I$1264)</x:f>
        <x:v>3473.6400000000003</x:v>
      </x:c>
      <x:c r="D143" s="21" t="n">
        <x:f>COUNTIF('Pagantes'!$B$2:$B$268,A143)</x:f>
        <x:v>0</x:v>
      </x:c>
      <x:c r="E143" s="21" t="n">
        <x:f>SUMIF('Pagantes'!$B$2:$B$268,A143,'Pagantes'!$D$2:$D$268)</x:f>
        <x:v>0</x:v>
      </x:c>
      <x:c r="F143" s="21" t="n">
        <x:f>SUMIFS('Pagantes'!$D$2:$D$268,'Pagantes'!$B$2:$B$268,A143,'Pagantes'!$E$2:$E$268,"&lt;&gt;Cancelado")</x:f>
        <x:v>0</x:v>
      </x:c>
      <x:c r="G143" s="21" t="n">
        <x:f>E143-F143</x:f>
        <x:v>0</x:v>
      </x:c>
      <x:c r="H143" s="21" t="n">
        <x:f>ROUND(F143-C143,2)</x:f>
        <x:v>-3473.64</x:v>
      </x:c>
      <x:c r="I143" s="21" t="n">
        <x:f>ROUND(E143-C143,2)</x:f>
        <x:v>-3473.64</x:v>
      </x:c>
      <x:c r="J143" s="17" t="str">
        <x:f>IF(B143=0,"SEM SERVIÇO NA GERAL",IF(D143=0,"SEM PAGANTE NO ARQUIVO",IF(H143=0,"BATE",IF(H143&lt;0,"PAGANTES A MENOS","PAGANTES A MAIS"))))</x:f>
        <x:v>SEM PAGANTE NO ARQUIVO</x:v>
      </x:c>
    </x:row>
    <x:row r="144" ht="15" hidden="0" customHeight="1">
      <x:c r="A144" s="17" t="str">
        <x:v>OP-1160</x:v>
      </x:c>
      <x:c r="B144" s="17" t="n">
        <x:f>COUNTIF('Serviços'!$B$2:$B$1264,A144)</x:f>
        <x:v>2</x:v>
      </x:c>
      <x:c r="C144" s="21" t="n">
        <x:f>SUMIF('Serviços'!$B$2:$B$1264,A144,'Serviços'!$I$2:$I$1264)</x:f>
        <x:v>1116.8400000000001</x:v>
      </x:c>
      <x:c r="D144" s="21" t="n">
        <x:f>COUNTIF('Pagantes'!$B$2:$B$268,A144)</x:f>
        <x:v>1</x:v>
      </x:c>
      <x:c r="E144" s="21" t="n">
        <x:f>SUMIF('Pagantes'!$B$2:$B$268,A144,'Pagantes'!$D$2:$D$268)</x:f>
        <x:v>1116.84</x:v>
      </x:c>
      <x:c r="F144" s="21" t="n">
        <x:f>SUMIFS('Pagantes'!$D$2:$D$268,'Pagantes'!$B$2:$B$268,A144,'Pagantes'!$E$2:$E$268,"&lt;&gt;Cancelado")</x:f>
        <x:v>1116.84</x:v>
      </x:c>
      <x:c r="G144" s="21" t="n">
        <x:f>E144-F144</x:f>
        <x:v>0</x:v>
      </x:c>
      <x:c r="H144" s="21" t="n">
        <x:f>ROUND(F144-C144,2)</x:f>
        <x:v>0</x:v>
      </x:c>
      <x:c r="I144" s="21" t="n">
        <x:f>ROUND(E144-C144,2)</x:f>
        <x:v>0</x:v>
      </x:c>
      <x:c r="J144" s="17" t="str">
        <x:f>IF(B144=0,"SEM SERVIÇO NA GERAL",IF(D144=0,"SEM PAGANTE NO ARQUIVO",IF(H144=0,"BATE",IF(H144&lt;0,"PAGANTES A MENOS","PAGANTES A MAIS"))))</x:f>
        <x:v>BATE</x:v>
      </x:c>
    </x:row>
    <x:row r="145" ht="15" hidden="0" customHeight="1">
      <x:c r="A145" s="17" t="str">
        <x:v>OP-1161</x:v>
      </x:c>
      <x:c r="B145" s="17" t="n">
        <x:f>COUNTIF('Serviços'!$B$2:$B$1264,A145)</x:f>
        <x:v>3</x:v>
      </x:c>
      <x:c r="C145" s="21" t="n">
        <x:f>SUMIF('Serviços'!$B$2:$B$1264,A145,'Serviços'!$I$2:$I$1264)</x:f>
        <x:v>2252.51</x:v>
      </x:c>
      <x:c r="D145" s="21" t="n">
        <x:f>COUNTIF('Pagantes'!$B$2:$B$268,A145)</x:f>
        <x:v>1</x:v>
      </x:c>
      <x:c r="E145" s="21" t="n">
        <x:f>SUMIF('Pagantes'!$B$2:$B$268,A145,'Pagantes'!$D$2:$D$268)</x:f>
        <x:v>2252.51</x:v>
      </x:c>
      <x:c r="F145" s="21" t="n">
        <x:f>SUMIFS('Pagantes'!$D$2:$D$268,'Pagantes'!$B$2:$B$268,A145,'Pagantes'!$E$2:$E$268,"&lt;&gt;Cancelado")</x:f>
        <x:v>2252.51</x:v>
      </x:c>
      <x:c r="G145" s="21" t="n">
        <x:f>E145-F145</x:f>
        <x:v>0</x:v>
      </x:c>
      <x:c r="H145" s="21" t="n">
        <x:f>ROUND(F145-C145,2)</x:f>
        <x:v>0</x:v>
      </x:c>
      <x:c r="I145" s="21" t="n">
        <x:f>ROUND(E145-C145,2)</x:f>
        <x:v>0</x:v>
      </x:c>
      <x:c r="J145" s="17" t="str">
        <x:f>IF(B145=0,"SEM SERVIÇO NA GERAL",IF(D145=0,"SEM PAGANTE NO ARQUIVO",IF(H145=0,"BATE",IF(H145&lt;0,"PAGANTES A MENOS","PAGANTES A MAIS"))))</x:f>
        <x:v>BATE</x:v>
      </x:c>
    </x:row>
    <x:row r="146" ht="15" hidden="0" customHeight="1">
      <x:c r="A146" s="17" t="str">
        <x:v>OP-1162</x:v>
      </x:c>
      <x:c r="B146" s="17" t="n">
        <x:f>COUNTIF('Serviços'!$B$2:$B$1264,A146)</x:f>
        <x:v>2</x:v>
      </x:c>
      <x:c r="C146" s="21" t="n">
        <x:f>SUMIF('Serviços'!$B$2:$B$1264,A146,'Serviços'!$I$2:$I$1264)</x:f>
        <x:v>859.1</x:v>
      </x:c>
      <x:c r="D146" s="21" t="n">
        <x:f>COUNTIF('Pagantes'!$B$2:$B$268,A146)</x:f>
        <x:v>1</x:v>
      </x:c>
      <x:c r="E146" s="21" t="n">
        <x:f>SUMIF('Pagantes'!$B$2:$B$268,A146,'Pagantes'!$D$2:$D$268)</x:f>
        <x:v>859.1</x:v>
      </x:c>
      <x:c r="F146" s="21" t="n">
        <x:f>SUMIFS('Pagantes'!$D$2:$D$268,'Pagantes'!$B$2:$B$268,A146,'Pagantes'!$E$2:$E$268,"&lt;&gt;Cancelado")</x:f>
        <x:v>859.1</x:v>
      </x:c>
      <x:c r="G146" s="21" t="n">
        <x:f>E146-F146</x:f>
        <x:v>0</x:v>
      </x:c>
      <x:c r="H146" s="21" t="n">
        <x:f>ROUND(F146-C146,2)</x:f>
        <x:v>0</x:v>
      </x:c>
      <x:c r="I146" s="21" t="n">
        <x:f>ROUND(E146-C146,2)</x:f>
        <x:v>0</x:v>
      </x:c>
      <x:c r="J146" s="17" t="str">
        <x:f>IF(B146=0,"SEM SERVIÇO NA GERAL",IF(D146=0,"SEM PAGANTE NO ARQUIVO",IF(H146=0,"BATE",IF(H146&lt;0,"PAGANTES A MENOS","PAGANTES A MAIS"))))</x:f>
        <x:v>BATE</x:v>
      </x:c>
    </x:row>
    <x:row r="147" ht="15" hidden="0" customHeight="1">
      <x:c r="A147" s="17" t="str">
        <x:v>OP-1163</x:v>
      </x:c>
      <x:c r="B147" s="17" t="n">
        <x:f>COUNTIF('Serviços'!$B$2:$B$1264,A147)</x:f>
        <x:v>3</x:v>
      </x:c>
      <x:c r="C147" s="21" t="n">
        <x:f>SUMIF('Serviços'!$B$2:$B$1264,A147,'Serviços'!$I$2:$I$1264)</x:f>
        <x:v>1326.35</x:v>
      </x:c>
      <x:c r="D147" s="21" t="n">
        <x:f>COUNTIF('Pagantes'!$B$2:$B$268,A147)</x:f>
        <x:v>4</x:v>
      </x:c>
      <x:c r="E147" s="21" t="n">
        <x:f>SUMIF('Pagantes'!$B$2:$B$268,A147,'Pagantes'!$D$2:$D$268)</x:f>
        <x:v>1326.36</x:v>
      </x:c>
      <x:c r="F147" s="21" t="n">
        <x:f>SUMIFS('Pagantes'!$D$2:$D$268,'Pagantes'!$B$2:$B$268,A147,'Pagantes'!$E$2:$E$268,"&lt;&gt;Cancelado")</x:f>
        <x:v>1326.36</x:v>
      </x:c>
      <x:c r="G147" s="21" t="n">
        <x:f>E147-F147</x:f>
        <x:v>0</x:v>
      </x:c>
      <x:c r="H147" s="21" t="n">
        <x:f>ROUND(F147-C147,2)</x:f>
        <x:v>0.01</x:v>
      </x:c>
      <x:c r="I147" s="21" t="n">
        <x:f>ROUND(E147-C147,2)</x:f>
        <x:v>0.01</x:v>
      </x:c>
      <x:c r="J147" s="17" t="str">
        <x:f>IF(B147=0,"SEM SERVIÇO NA GERAL",IF(D147=0,"SEM PAGANTE NO ARQUIVO",IF(H147=0,"BATE",IF(H147&lt;0,"PAGANTES A MENOS","PAGANTES A MAIS"))))</x:f>
        <x:v>PAGANTES A MAIS</x:v>
      </x:c>
    </x:row>
    <x:row r="148" ht="15" hidden="0" customHeight="1">
      <x:c r="A148" s="17" t="str">
        <x:v>OP-1164</x:v>
      </x:c>
      <x:c r="B148" s="17" t="n">
        <x:f>COUNTIF('Serviços'!$B$2:$B$1264,A148)</x:f>
        <x:v>2</x:v>
      </x:c>
      <x:c r="C148" s="21" t="n">
        <x:f>SUMIF('Serviços'!$B$2:$B$1264,A148,'Serviços'!$I$2:$I$1264)</x:f>
        <x:v>1335.98</x:v>
      </x:c>
      <x:c r="D148" s="21" t="n">
        <x:f>COUNTIF('Pagantes'!$B$2:$B$268,A148)</x:f>
        <x:v>1</x:v>
      </x:c>
      <x:c r="E148" s="21" t="n">
        <x:f>SUMIF('Pagantes'!$B$2:$B$268,A148,'Pagantes'!$D$2:$D$268)</x:f>
        <x:v>1335.98</x:v>
      </x:c>
      <x:c r="F148" s="21" t="n">
        <x:f>SUMIFS('Pagantes'!$D$2:$D$268,'Pagantes'!$B$2:$B$268,A148,'Pagantes'!$E$2:$E$268,"&lt;&gt;Cancelado")</x:f>
        <x:v>1335.98</x:v>
      </x:c>
      <x:c r="G148" s="21" t="n">
        <x:f>E148-F148</x:f>
        <x:v>0</x:v>
      </x:c>
      <x:c r="H148" s="21" t="n">
        <x:f>ROUND(F148-C148,2)</x:f>
        <x:v>0</x:v>
      </x:c>
      <x:c r="I148" s="21" t="n">
        <x:f>ROUND(E148-C148,2)</x:f>
        <x:v>0</x:v>
      </x:c>
      <x:c r="J148" s="17" t="str">
        <x:f>IF(B148=0,"SEM SERVIÇO NA GERAL",IF(D148=0,"SEM PAGANTE NO ARQUIVO",IF(H148=0,"BATE",IF(H148&lt;0,"PAGANTES A MENOS","PAGANTES A MAIS"))))</x:f>
        <x:v>BATE</x:v>
      </x:c>
    </x:row>
    <x:row r="149" ht="15" hidden="0" customHeight="1">
      <x:c r="A149" s="17" t="str">
        <x:v>OP-1165</x:v>
      </x:c>
      <x:c r="B149" s="17" t="n">
        <x:f>COUNTIF('Serviços'!$B$2:$B$1264,A149)</x:f>
        <x:v>2</x:v>
      </x:c>
      <x:c r="C149" s="21" t="n">
        <x:f>SUMIF('Serviços'!$B$2:$B$1264,A149,'Serviços'!$I$2:$I$1264)</x:f>
        <x:v>952.96</x:v>
      </x:c>
      <x:c r="D149" s="21" t="n">
        <x:f>COUNTIF('Pagantes'!$B$2:$B$268,A149)</x:f>
        <x:v>1</x:v>
      </x:c>
      <x:c r="E149" s="21" t="n">
        <x:f>SUMIF('Pagantes'!$B$2:$B$268,A149,'Pagantes'!$D$2:$D$268)</x:f>
        <x:v>952.96</x:v>
      </x:c>
      <x:c r="F149" s="21" t="n">
        <x:f>SUMIFS('Pagantes'!$D$2:$D$268,'Pagantes'!$B$2:$B$268,A149,'Pagantes'!$E$2:$E$268,"&lt;&gt;Cancelado")</x:f>
        <x:v>952.96</x:v>
      </x:c>
      <x:c r="G149" s="21" t="n">
        <x:f>E149-F149</x:f>
        <x:v>0</x:v>
      </x:c>
      <x:c r="H149" s="21" t="n">
        <x:f>ROUND(F149-C149,2)</x:f>
        <x:v>0</x:v>
      </x:c>
      <x:c r="I149" s="21" t="n">
        <x:f>ROUND(E149-C149,2)</x:f>
        <x:v>0</x:v>
      </x:c>
      <x:c r="J149" s="17" t="str">
        <x:f>IF(B149=0,"SEM SERVIÇO NA GERAL",IF(D149=0,"SEM PAGANTE NO ARQUIVO",IF(H149=0,"BATE",IF(H149&lt;0,"PAGANTES A MENOS","PAGANTES A MAIS"))))</x:f>
        <x:v>BATE</x:v>
      </x:c>
    </x:row>
    <x:row r="150" ht="15" hidden="0" customHeight="1">
      <x:c r="A150" s="17" t="str">
        <x:v>OP-1167</x:v>
      </x:c>
      <x:c r="B150" s="17" t="n">
        <x:f>COUNTIF('Serviços'!$B$2:$B$1264,A150)</x:f>
        <x:v>2</x:v>
      </x:c>
      <x:c r="C150" s="21" t="n">
        <x:f>SUMIF('Serviços'!$B$2:$B$1264,A150,'Serviços'!$I$2:$I$1264)</x:f>
        <x:v>1050.72</x:v>
      </x:c>
      <x:c r="D150" s="21" t="n">
        <x:f>COUNTIF('Pagantes'!$B$2:$B$268,A150)</x:f>
        <x:v>1</x:v>
      </x:c>
      <x:c r="E150" s="21" t="n">
        <x:f>SUMIF('Pagantes'!$B$2:$B$268,A150,'Pagantes'!$D$2:$D$268)</x:f>
        <x:v>1050.72</x:v>
      </x:c>
      <x:c r="F150" s="21" t="n">
        <x:f>SUMIFS('Pagantes'!$D$2:$D$268,'Pagantes'!$B$2:$B$268,A150,'Pagantes'!$E$2:$E$268,"&lt;&gt;Cancelado")</x:f>
        <x:v>1050.72</x:v>
      </x:c>
      <x:c r="G150" s="21" t="n">
        <x:f>E150-F150</x:f>
        <x:v>0</x:v>
      </x:c>
      <x:c r="H150" s="21" t="n">
        <x:f>ROUND(F150-C150,2)</x:f>
        <x:v>0</x:v>
      </x:c>
      <x:c r="I150" s="21" t="n">
        <x:f>ROUND(E150-C150,2)</x:f>
        <x:v>0</x:v>
      </x:c>
      <x:c r="J150" s="17" t="str">
        <x:f>IF(B150=0,"SEM SERVIÇO NA GERAL",IF(D150=0,"SEM PAGANTE NO ARQUIVO",IF(H150=0,"BATE",IF(H150&lt;0,"PAGANTES A MENOS","PAGANTES A MAIS"))))</x:f>
        <x:v>BATE</x:v>
      </x:c>
    </x:row>
    <x:row r="151" ht="15" hidden="0" customHeight="1">
      <x:c r="A151" s="17" t="str">
        <x:v>OP-1168</x:v>
      </x:c>
      <x:c r="B151" s="17" t="n">
        <x:f>COUNTIF('Serviços'!$B$2:$B$1264,A151)</x:f>
        <x:v>2</x:v>
      </x:c>
      <x:c r="C151" s="21" t="n">
        <x:f>SUMIF('Serviços'!$B$2:$B$1264,A151,'Serviços'!$I$2:$I$1264)</x:f>
        <x:v>859.1</x:v>
      </x:c>
      <x:c r="D151" s="21" t="n">
        <x:f>COUNTIF('Pagantes'!$B$2:$B$268,A151)</x:f>
        <x:v>1</x:v>
      </x:c>
      <x:c r="E151" s="21" t="n">
        <x:f>SUMIF('Pagantes'!$B$2:$B$268,A151,'Pagantes'!$D$2:$D$268)</x:f>
        <x:v>859.1</x:v>
      </x:c>
      <x:c r="F151" s="21" t="n">
        <x:f>SUMIFS('Pagantes'!$D$2:$D$268,'Pagantes'!$B$2:$B$268,A151,'Pagantes'!$E$2:$E$268,"&lt;&gt;Cancelado")</x:f>
        <x:v>859.1</x:v>
      </x:c>
      <x:c r="G151" s="21" t="n">
        <x:f>E151-F151</x:f>
        <x:v>0</x:v>
      </x:c>
      <x:c r="H151" s="21" t="n">
        <x:f>ROUND(F151-C151,2)</x:f>
        <x:v>0</x:v>
      </x:c>
      <x:c r="I151" s="21" t="n">
        <x:f>ROUND(E151-C151,2)</x:f>
        <x:v>0</x:v>
      </x:c>
      <x:c r="J151" s="17" t="str">
        <x:f>IF(B151=0,"SEM SERVIÇO NA GERAL",IF(D151=0,"SEM PAGANTE NO ARQUIVO",IF(H151=0,"BATE",IF(H151&lt;0,"PAGANTES A MENOS","PAGANTES A MAIS"))))</x:f>
        <x:v>BATE</x:v>
      </x:c>
    </x:row>
    <x:row r="152" ht="15" hidden="0" customHeight="1">
      <x:c r="A152" s="17" t="str">
        <x:v>OP-1169</x:v>
      </x:c>
      <x:c r="B152" s="17" t="n">
        <x:f>COUNTIF('Serviços'!$B$2:$B$1264,A152)</x:f>
        <x:v>2</x:v>
      </x:c>
      <x:c r="C152" s="21" t="n">
        <x:f>SUMIF('Serviços'!$B$2:$B$1264,A152,'Serviços'!$I$2:$I$1264)</x:f>
        <x:v>859.1</x:v>
      </x:c>
      <x:c r="D152" s="21" t="n">
        <x:f>COUNTIF('Pagantes'!$B$2:$B$268,A152)</x:f>
        <x:v>1</x:v>
      </x:c>
      <x:c r="E152" s="21" t="n">
        <x:f>SUMIF('Pagantes'!$B$2:$B$268,A152,'Pagantes'!$D$2:$D$268)</x:f>
        <x:v>859.1</x:v>
      </x:c>
      <x:c r="F152" s="21" t="n">
        <x:f>SUMIFS('Pagantes'!$D$2:$D$268,'Pagantes'!$B$2:$B$268,A152,'Pagantes'!$E$2:$E$268,"&lt;&gt;Cancelado")</x:f>
        <x:v>859.1</x:v>
      </x:c>
      <x:c r="G152" s="21" t="n">
        <x:f>E152-F152</x:f>
        <x:v>0</x:v>
      </x:c>
      <x:c r="H152" s="21" t="n">
        <x:f>ROUND(F152-C152,2)</x:f>
        <x:v>0</x:v>
      </x:c>
      <x:c r="I152" s="21" t="n">
        <x:f>ROUND(E152-C152,2)</x:f>
        <x:v>0</x:v>
      </x:c>
      <x:c r="J152" s="17" t="str">
        <x:f>IF(B152=0,"SEM SERVIÇO NA GERAL",IF(D152=0,"SEM PAGANTE NO ARQUIVO",IF(H152=0,"BATE",IF(H152&lt;0,"PAGANTES A MENOS","PAGANTES A MAIS"))))</x:f>
        <x:v>BATE</x:v>
      </x:c>
    </x:row>
    <x:row r="153" ht="15" hidden="0" customHeight="1">
      <x:c r="A153" s="17" t="str">
        <x:v>OP-1170</x:v>
      </x:c>
      <x:c r="B153" s="17" t="n">
        <x:f>COUNTIF('Serviços'!$B$2:$B$1264,A153)</x:f>
        <x:v>4</x:v>
      </x:c>
      <x:c r="C153" s="21" t="n">
        <x:f>SUMIF('Serviços'!$B$2:$B$1264,A153,'Serviços'!$I$2:$I$1264)</x:f>
        <x:v>910.4399999999999</x:v>
      </x:c>
      <x:c r="D153" s="21" t="n">
        <x:f>COUNTIF('Pagantes'!$B$2:$B$268,A153)</x:f>
        <x:v>1</x:v>
      </x:c>
      <x:c r="E153" s="21" t="n">
        <x:f>SUMIF('Pagantes'!$B$2:$B$268,A153,'Pagantes'!$D$2:$D$268)</x:f>
        <x:v>1952.85</x:v>
      </x:c>
      <x:c r="F153" s="21" t="n">
        <x:f>SUMIFS('Pagantes'!$D$2:$D$268,'Pagantes'!$B$2:$B$268,A153,'Pagantes'!$E$2:$E$268,"&lt;&gt;Cancelado")</x:f>
        <x:v>1952.85</x:v>
      </x:c>
      <x:c r="G153" s="21" t="n">
        <x:f>E153-F153</x:f>
        <x:v>0</x:v>
      </x:c>
      <x:c r="H153" s="21" t="n">
        <x:f>ROUND(F153-C153,2)</x:f>
        <x:v>1042.41</x:v>
      </x:c>
      <x:c r="I153" s="21" t="n">
        <x:f>ROUND(E153-C153,2)</x:f>
        <x:v>1042.41</x:v>
      </x:c>
      <x:c r="J153" s="17" t="str">
        <x:f>IF(B153=0,"SEM SERVIÇO NA GERAL",IF(D153=0,"SEM PAGANTE NO ARQUIVO",IF(H153=0,"BATE",IF(H153&lt;0,"PAGANTES A MENOS","PAGANTES A MAIS"))))</x:f>
        <x:v>PAGANTES A MAIS</x:v>
      </x:c>
    </x:row>
    <x:row r="154" ht="15" hidden="0" customHeight="1">
      <x:c r="A154" s="17" t="str">
        <x:v>OP-1171</x:v>
      </x:c>
      <x:c r="B154" s="17" t="n">
        <x:f>COUNTIF('Serviços'!$B$2:$B$1264,A154)</x:f>
        <x:v>2</x:v>
      </x:c>
      <x:c r="C154" s="21" t="n">
        <x:f>SUMIF('Serviços'!$B$2:$B$1264,A154,'Serviços'!$I$2:$I$1264)</x:f>
        <x:v>957</x:v>
      </x:c>
      <x:c r="D154" s="21" t="n">
        <x:f>COUNTIF('Pagantes'!$B$2:$B$268,A154)</x:f>
        <x:v>1</x:v>
      </x:c>
      <x:c r="E154" s="21" t="n">
        <x:f>SUMIF('Pagantes'!$B$2:$B$268,A154,'Pagantes'!$D$2:$D$268)</x:f>
        <x:v>957</x:v>
      </x:c>
      <x:c r="F154" s="21" t="n">
        <x:f>SUMIFS('Pagantes'!$D$2:$D$268,'Pagantes'!$B$2:$B$268,A154,'Pagantes'!$E$2:$E$268,"&lt;&gt;Cancelado")</x:f>
        <x:v>957</x:v>
      </x:c>
      <x:c r="G154" s="21" t="n">
        <x:f>E154-F154</x:f>
        <x:v>0</x:v>
      </x:c>
      <x:c r="H154" s="21" t="n">
        <x:f>ROUND(F154-C154,2)</x:f>
        <x:v>0</x:v>
      </x:c>
      <x:c r="I154" s="21" t="n">
        <x:f>ROUND(E154-C154,2)</x:f>
        <x:v>0</x:v>
      </x:c>
      <x:c r="J154" s="17" t="str">
        <x:f>IF(B154=0,"SEM SERVIÇO NA GERAL",IF(D154=0,"SEM PAGANTE NO ARQUIVO",IF(H154=0,"BATE",IF(H154&lt;0,"PAGANTES A MENOS","PAGANTES A MAIS"))))</x:f>
        <x:v>BATE</x:v>
      </x:c>
    </x:row>
    <x:row r="155" ht="15" hidden="0" customHeight="1">
      <x:c r="A155" s="17" t="str">
        <x:v>OP-1172</x:v>
      </x:c>
      <x:c r="B155" s="17" t="n">
        <x:f>COUNTIF('Serviços'!$B$2:$B$1264,A155)</x:f>
        <x:v>2</x:v>
      </x:c>
      <x:c r="C155" s="21" t="n">
        <x:f>SUMIF('Serviços'!$B$2:$B$1264,A155,'Serviços'!$I$2:$I$1264)</x:f>
        <x:v>925.7</x:v>
      </x:c>
      <x:c r="D155" s="21" t="n">
        <x:f>COUNTIF('Pagantes'!$B$2:$B$268,A155)</x:f>
        <x:v>1</x:v>
      </x:c>
      <x:c r="E155" s="21" t="n">
        <x:f>SUMIF('Pagantes'!$B$2:$B$268,A155,'Pagantes'!$D$2:$D$268)</x:f>
        <x:v>925.7</x:v>
      </x:c>
      <x:c r="F155" s="21" t="n">
        <x:f>SUMIFS('Pagantes'!$D$2:$D$268,'Pagantes'!$B$2:$B$268,A155,'Pagantes'!$E$2:$E$268,"&lt;&gt;Cancelado")</x:f>
        <x:v>925.7</x:v>
      </x:c>
      <x:c r="G155" s="21" t="n">
        <x:f>E155-F155</x:f>
        <x:v>0</x:v>
      </x:c>
      <x:c r="H155" s="21" t="n">
        <x:f>ROUND(F155-C155,2)</x:f>
        <x:v>0</x:v>
      </x:c>
      <x:c r="I155" s="21" t="n">
        <x:f>ROUND(E155-C155,2)</x:f>
        <x:v>0</x:v>
      </x:c>
      <x:c r="J155" s="17" t="str">
        <x:f>IF(B155=0,"SEM SERVIÇO NA GERAL",IF(D155=0,"SEM PAGANTE NO ARQUIVO",IF(H155=0,"BATE",IF(H155&lt;0,"PAGANTES A MENOS","PAGANTES A MAIS"))))</x:f>
        <x:v>BATE</x:v>
      </x:c>
    </x:row>
    <x:row r="156" ht="15" hidden="0" customHeight="1">
      <x:c r="A156" s="17" t="str">
        <x:v>OP-1173</x:v>
      </x:c>
      <x:c r="B156" s="17" t="n">
        <x:f>COUNTIF('Serviços'!$B$2:$B$1264,A156)</x:f>
        <x:v>1</x:v>
      </x:c>
      <x:c r="C156" s="21" t="n">
        <x:f>SUMIF('Serviços'!$B$2:$B$1264,A156,'Serviços'!$I$2:$I$1264)</x:f>
        <x:v>959.89</x:v>
      </x:c>
      <x:c r="D156" s="21" t="n">
        <x:f>COUNTIF('Pagantes'!$B$2:$B$268,A156)</x:f>
        <x:v>1</x:v>
      </x:c>
      <x:c r="E156" s="21" t="n">
        <x:f>SUMIF('Pagantes'!$B$2:$B$268,A156,'Pagantes'!$D$2:$D$268)</x:f>
        <x:v>959.89</x:v>
      </x:c>
      <x:c r="F156" s="21" t="n">
        <x:f>SUMIFS('Pagantes'!$D$2:$D$268,'Pagantes'!$B$2:$B$268,A156,'Pagantes'!$E$2:$E$268,"&lt;&gt;Cancelado")</x:f>
        <x:v>959.89</x:v>
      </x:c>
      <x:c r="G156" s="21" t="n">
        <x:f>E156-F156</x:f>
        <x:v>0</x:v>
      </x:c>
      <x:c r="H156" s="21" t="n">
        <x:f>ROUND(F156-C156,2)</x:f>
        <x:v>0</x:v>
      </x:c>
      <x:c r="I156" s="21" t="n">
        <x:f>ROUND(E156-C156,2)</x:f>
        <x:v>0</x:v>
      </x:c>
      <x:c r="J156" s="17" t="str">
        <x:f>IF(B156=0,"SEM SERVIÇO NA GERAL",IF(D156=0,"SEM PAGANTE NO ARQUIVO",IF(H156=0,"BATE",IF(H156&lt;0,"PAGANTES A MENOS","PAGANTES A MAIS"))))</x:f>
        <x:v>BATE</x:v>
      </x:c>
    </x:row>
    <x:row r="157" ht="15" hidden="0" customHeight="1">
      <x:c r="A157" s="17" t="str">
        <x:v>OP-1174</x:v>
      </x:c>
      <x:c r="B157" s="17" t="n">
        <x:f>COUNTIF('Serviços'!$B$2:$B$1264,A157)</x:f>
        <x:v>9</x:v>
      </x:c>
      <x:c r="C157" s="21" t="n">
        <x:f>SUMIF('Serviços'!$B$2:$B$1264,A157,'Serviços'!$I$2:$I$1264)</x:f>
        <x:v>18910</x:v>
      </x:c>
      <x:c r="D157" s="21" t="n">
        <x:f>COUNTIF('Pagantes'!$B$2:$B$268,A157)</x:f>
        <x:v>0</x:v>
      </x:c>
      <x:c r="E157" s="21" t="n">
        <x:f>SUMIF('Pagantes'!$B$2:$B$268,A157,'Pagantes'!$D$2:$D$268)</x:f>
        <x:v>0</x:v>
      </x:c>
      <x:c r="F157" s="21" t="n">
        <x:f>SUMIFS('Pagantes'!$D$2:$D$268,'Pagantes'!$B$2:$B$268,A157,'Pagantes'!$E$2:$E$268,"&lt;&gt;Cancelado")</x:f>
        <x:v>0</x:v>
      </x:c>
      <x:c r="G157" s="21" t="n">
        <x:f>E157-F157</x:f>
        <x:v>0</x:v>
      </x:c>
      <x:c r="H157" s="21" t="n">
        <x:f>ROUND(F157-C157,2)</x:f>
        <x:v>-18910</x:v>
      </x:c>
      <x:c r="I157" s="21" t="n">
        <x:f>ROUND(E157-C157,2)</x:f>
        <x:v>-18910</x:v>
      </x:c>
      <x:c r="J157" s="17" t="str">
        <x:f>IF(B157=0,"SEM SERVIÇO NA GERAL",IF(D157=0,"SEM PAGANTE NO ARQUIVO",IF(H157=0,"BATE",IF(H157&lt;0,"PAGANTES A MENOS","PAGANTES A MAIS"))))</x:f>
        <x:v>SEM PAGANTE NO ARQUIVO</x:v>
      </x:c>
    </x:row>
    <x:row r="158" ht="15" hidden="0" customHeight="1">
      <x:c r="A158" s="17" t="str">
        <x:v>OP-1175</x:v>
      </x:c>
      <x:c r="B158" s="17" t="n">
        <x:f>COUNTIF('Serviços'!$B$2:$B$1264,A158)</x:f>
        <x:v>1</x:v>
      </x:c>
      <x:c r="C158" s="21" t="n">
        <x:f>SUMIF('Serviços'!$B$2:$B$1264,A158,'Serviços'!$I$2:$I$1264)</x:f>
        <x:v>396.05</x:v>
      </x:c>
      <x:c r="D158" s="21" t="n">
        <x:f>COUNTIF('Pagantes'!$B$2:$B$268,A158)</x:f>
        <x:v>1</x:v>
      </x:c>
      <x:c r="E158" s="21" t="n">
        <x:f>SUMIF('Pagantes'!$B$2:$B$268,A158,'Pagantes'!$D$2:$D$268)</x:f>
        <x:v>396.05</x:v>
      </x:c>
      <x:c r="F158" s="21" t="n">
        <x:f>SUMIFS('Pagantes'!$D$2:$D$268,'Pagantes'!$B$2:$B$268,A158,'Pagantes'!$E$2:$E$268,"&lt;&gt;Cancelado")</x:f>
        <x:v>396.05</x:v>
      </x:c>
      <x:c r="G158" s="21" t="n">
        <x:f>E158-F158</x:f>
        <x:v>0</x:v>
      </x:c>
      <x:c r="H158" s="21" t="n">
        <x:f>ROUND(F158-C158,2)</x:f>
        <x:v>0</x:v>
      </x:c>
      <x:c r="I158" s="21" t="n">
        <x:f>ROUND(E158-C158,2)</x:f>
        <x:v>0</x:v>
      </x:c>
      <x:c r="J158" s="17" t="str">
        <x:f>IF(B158=0,"SEM SERVIÇO NA GERAL",IF(D158=0,"SEM PAGANTE NO ARQUIVO",IF(H158=0,"BATE",IF(H158&lt;0,"PAGANTES A MENOS","PAGANTES A MAIS"))))</x:f>
        <x:v>BATE</x:v>
      </x:c>
    </x:row>
    <x:row r="159" ht="15" hidden="0" customHeight="1">
      <x:c r="A159" s="17" t="str">
        <x:v>OP-1176</x:v>
      </x:c>
      <x:c r="B159" s="17" t="n">
        <x:f>COUNTIF('Serviços'!$B$2:$B$1264,A159)</x:f>
        <x:v>2</x:v>
      </x:c>
      <x:c r="C159" s="21" t="n">
        <x:f>SUMIF('Serviços'!$B$2:$B$1264,A159,'Serviços'!$I$2:$I$1264)</x:f>
        <x:v>1519.12</x:v>
      </x:c>
      <x:c r="D159" s="21" t="n">
        <x:f>COUNTIF('Pagantes'!$B$2:$B$268,A159)</x:f>
        <x:v>1</x:v>
      </x:c>
      <x:c r="E159" s="21" t="n">
        <x:f>SUMIF('Pagantes'!$B$2:$B$268,A159,'Pagantes'!$D$2:$D$268)</x:f>
        <x:v>1519.12</x:v>
      </x:c>
      <x:c r="F159" s="21" t="n">
        <x:f>SUMIFS('Pagantes'!$D$2:$D$268,'Pagantes'!$B$2:$B$268,A159,'Pagantes'!$E$2:$E$268,"&lt;&gt;Cancelado")</x:f>
        <x:v>1519.12</x:v>
      </x:c>
      <x:c r="G159" s="21" t="n">
        <x:f>E159-F159</x:f>
        <x:v>0</x:v>
      </x:c>
      <x:c r="H159" s="21" t="n">
        <x:f>ROUND(F159-C159,2)</x:f>
        <x:v>0</x:v>
      </x:c>
      <x:c r="I159" s="21" t="n">
        <x:f>ROUND(E159-C159,2)</x:f>
        <x:v>0</x:v>
      </x:c>
      <x:c r="J159" s="17" t="str">
        <x:f>IF(B159=0,"SEM SERVIÇO NA GERAL",IF(D159=0,"SEM PAGANTE NO ARQUIVO",IF(H159=0,"BATE",IF(H159&lt;0,"PAGANTES A MENOS","PAGANTES A MAIS"))))</x:f>
        <x:v>BATE</x:v>
      </x:c>
    </x:row>
    <x:row r="160" ht="15" hidden="0" customHeight="1">
      <x:c r="A160" s="17" t="str">
        <x:v>OP-1177</x:v>
      </x:c>
      <x:c r="B160" s="17" t="n">
        <x:f>COUNTIF('Serviços'!$B$2:$B$1264,A160)</x:f>
        <x:v>1</x:v>
      </x:c>
      <x:c r="C160" s="21" t="n">
        <x:f>SUMIF('Serviços'!$B$2:$B$1264,A160,'Serviços'!$I$2:$I$1264)</x:f>
        <x:v>426</x:v>
      </x:c>
      <x:c r="D160" s="21" t="n">
        <x:f>COUNTIF('Pagantes'!$B$2:$B$268,A160)</x:f>
        <x:v>0</x:v>
      </x:c>
      <x:c r="E160" s="21" t="n">
        <x:f>SUMIF('Pagantes'!$B$2:$B$268,A160,'Pagantes'!$D$2:$D$268)</x:f>
        <x:v>0</x:v>
      </x:c>
      <x:c r="F160" s="21" t="n">
        <x:f>SUMIFS('Pagantes'!$D$2:$D$268,'Pagantes'!$B$2:$B$268,A160,'Pagantes'!$E$2:$E$268,"&lt;&gt;Cancelado")</x:f>
        <x:v>0</x:v>
      </x:c>
      <x:c r="G160" s="21" t="n">
        <x:f>E160-F160</x:f>
        <x:v>0</x:v>
      </x:c>
      <x:c r="H160" s="21" t="n">
        <x:f>ROUND(F160-C160,2)</x:f>
        <x:v>-426</x:v>
      </x:c>
      <x:c r="I160" s="21" t="n">
        <x:f>ROUND(E160-C160,2)</x:f>
        <x:v>-426</x:v>
      </x:c>
      <x:c r="J160" s="17" t="str">
        <x:f>IF(B160=0,"SEM SERVIÇO NA GERAL",IF(D160=0,"SEM PAGANTE NO ARQUIVO",IF(H160=0,"BATE",IF(H160&lt;0,"PAGANTES A MENOS","PAGANTES A MAIS"))))</x:f>
        <x:v>SEM PAGANTE NO ARQUIVO</x:v>
      </x:c>
    </x:row>
    <x:row r="161" ht="15" hidden="0" customHeight="1">
      <x:c r="A161" s="17" t="str">
        <x:v>OP-1178</x:v>
      </x:c>
      <x:c r="B161" s="17" t="n">
        <x:f>COUNTIF('Serviços'!$B$2:$B$1264,A161)</x:f>
        <x:v>1</x:v>
      </x:c>
      <x:c r="C161" s="21" t="n">
        <x:f>SUMIF('Serviços'!$B$2:$B$1264,A161,'Serviços'!$I$2:$I$1264)</x:f>
        <x:v>390</x:v>
      </x:c>
      <x:c r="D161" s="21" t="n">
        <x:f>COUNTIF('Pagantes'!$B$2:$B$268,A161)</x:f>
        <x:v>0</x:v>
      </x:c>
      <x:c r="E161" s="21" t="n">
        <x:f>SUMIF('Pagantes'!$B$2:$B$268,A161,'Pagantes'!$D$2:$D$268)</x:f>
        <x:v>0</x:v>
      </x:c>
      <x:c r="F161" s="21" t="n">
        <x:f>SUMIFS('Pagantes'!$D$2:$D$268,'Pagantes'!$B$2:$B$268,A161,'Pagantes'!$E$2:$E$268,"&lt;&gt;Cancelado")</x:f>
        <x:v>0</x:v>
      </x:c>
      <x:c r="G161" s="21" t="n">
        <x:f>E161-F161</x:f>
        <x:v>0</x:v>
      </x:c>
      <x:c r="H161" s="21" t="n">
        <x:f>ROUND(F161-C161,2)</x:f>
        <x:v>-390</x:v>
      </x:c>
      <x:c r="I161" s="21" t="n">
        <x:f>ROUND(E161-C161,2)</x:f>
        <x:v>-390</x:v>
      </x:c>
      <x:c r="J161" s="17" t="str">
        <x:f>IF(B161=0,"SEM SERVIÇO NA GERAL",IF(D161=0,"SEM PAGANTE NO ARQUIVO",IF(H161=0,"BATE",IF(H161&lt;0,"PAGANTES A MENOS","PAGANTES A MAIS"))))</x:f>
        <x:v>SEM PAGANTE NO ARQUIVO</x:v>
      </x:c>
    </x:row>
    <x:row r="162" ht="15" hidden="0" customHeight="1">
      <x:c r="A162" s="17" t="str">
        <x:v>OP-1179</x:v>
      </x:c>
      <x:c r="B162" s="17" t="n">
        <x:f>COUNTIF('Serviços'!$B$2:$B$1264,A162)</x:f>
        <x:v>1</x:v>
      </x:c>
      <x:c r="C162" s="21" t="n">
        <x:f>SUMIF('Serviços'!$B$2:$B$1264,A162,'Serviços'!$I$2:$I$1264)</x:f>
        <x:v>1299.29</x:v>
      </x:c>
      <x:c r="D162" s="21" t="n">
        <x:f>COUNTIF('Pagantes'!$B$2:$B$268,A162)</x:f>
        <x:v>1</x:v>
      </x:c>
      <x:c r="E162" s="21" t="n">
        <x:f>SUMIF('Pagantes'!$B$2:$B$268,A162,'Pagantes'!$D$2:$D$268)</x:f>
        <x:v>1299.29</x:v>
      </x:c>
      <x:c r="F162" s="21" t="n">
        <x:f>SUMIFS('Pagantes'!$D$2:$D$268,'Pagantes'!$B$2:$B$268,A162,'Pagantes'!$E$2:$E$268,"&lt;&gt;Cancelado")</x:f>
        <x:v>1299.29</x:v>
      </x:c>
      <x:c r="G162" s="21" t="n">
        <x:f>E162-F162</x:f>
        <x:v>0</x:v>
      </x:c>
      <x:c r="H162" s="21" t="n">
        <x:f>ROUND(F162-C162,2)</x:f>
        <x:v>0</x:v>
      </x:c>
      <x:c r="I162" s="21" t="n">
        <x:f>ROUND(E162-C162,2)</x:f>
        <x:v>0</x:v>
      </x:c>
      <x:c r="J162" s="17" t="str">
        <x:f>IF(B162=0,"SEM SERVIÇO NA GERAL",IF(D162=0,"SEM PAGANTE NO ARQUIVO",IF(H162=0,"BATE",IF(H162&lt;0,"PAGANTES A MENOS","PAGANTES A MAIS"))))</x:f>
        <x:v>BATE</x:v>
      </x:c>
    </x:row>
    <x:row r="163" ht="15" hidden="0" customHeight="1">
      <x:c r="A163" s="17" t="str">
        <x:v>OP-1180</x:v>
      </x:c>
      <x:c r="B163" s="17" t="n">
        <x:f>COUNTIF('Serviços'!$B$2:$B$1264,A163)</x:f>
        <x:v>1</x:v>
      </x:c>
      <x:c r="C163" s="21" t="n">
        <x:f>SUMIF('Serviços'!$B$2:$B$1264,A163,'Serviços'!$I$2:$I$1264)</x:f>
        <x:v>962.65</x:v>
      </x:c>
      <x:c r="D163" s="21" t="n">
        <x:f>COUNTIF('Pagantes'!$B$2:$B$268,A163)</x:f>
        <x:v>1</x:v>
      </x:c>
      <x:c r="E163" s="21" t="n">
        <x:f>SUMIF('Pagantes'!$B$2:$B$268,A163,'Pagantes'!$D$2:$D$268)</x:f>
        <x:v>962.65</x:v>
      </x:c>
      <x:c r="F163" s="21" t="n">
        <x:f>SUMIFS('Pagantes'!$D$2:$D$268,'Pagantes'!$B$2:$B$268,A163,'Pagantes'!$E$2:$E$268,"&lt;&gt;Cancelado")</x:f>
        <x:v>962.65</x:v>
      </x:c>
      <x:c r="G163" s="21" t="n">
        <x:f>E163-F163</x:f>
        <x:v>0</x:v>
      </x:c>
      <x:c r="H163" s="21" t="n">
        <x:f>ROUND(F163-C163,2)</x:f>
        <x:v>0</x:v>
      </x:c>
      <x:c r="I163" s="21" t="n">
        <x:f>ROUND(E163-C163,2)</x:f>
        <x:v>0</x:v>
      </x:c>
      <x:c r="J163" s="17" t="str">
        <x:f>IF(B163=0,"SEM SERVIÇO NA GERAL",IF(D163=0,"SEM PAGANTE NO ARQUIVO",IF(H163=0,"BATE",IF(H163&lt;0,"PAGANTES A MENOS","PAGANTES A MAIS"))))</x:f>
        <x:v>BATE</x:v>
      </x:c>
    </x:row>
    <x:row r="164" ht="15" hidden="0" customHeight="1">
      <x:c r="A164" s="17" t="str">
        <x:v>OP-1181</x:v>
      </x:c>
      <x:c r="B164" s="17" t="n">
        <x:f>COUNTIF('Serviços'!$B$2:$B$1264,A164)</x:f>
        <x:v>2</x:v>
      </x:c>
      <x:c r="C164" s="21" t="n">
        <x:f>SUMIF('Serviços'!$B$2:$B$1264,A164,'Serviços'!$I$2:$I$1264)</x:f>
        <x:v>1338.74</x:v>
      </x:c>
      <x:c r="D164" s="21" t="n">
        <x:f>COUNTIF('Pagantes'!$B$2:$B$268,A164)</x:f>
        <x:v>1</x:v>
      </x:c>
      <x:c r="E164" s="21" t="n">
        <x:f>SUMIF('Pagantes'!$B$2:$B$268,A164,'Pagantes'!$D$2:$D$268)</x:f>
        <x:v>1338.74</x:v>
      </x:c>
      <x:c r="F164" s="21" t="n">
        <x:f>SUMIFS('Pagantes'!$D$2:$D$268,'Pagantes'!$B$2:$B$268,A164,'Pagantes'!$E$2:$E$268,"&lt;&gt;Cancelado")</x:f>
        <x:v>1338.74</x:v>
      </x:c>
      <x:c r="G164" s="21" t="n">
        <x:f>E164-F164</x:f>
        <x:v>0</x:v>
      </x:c>
      <x:c r="H164" s="21" t="n">
        <x:f>ROUND(F164-C164,2)</x:f>
        <x:v>0</x:v>
      </x:c>
      <x:c r="I164" s="21" t="n">
        <x:f>ROUND(E164-C164,2)</x:f>
        <x:v>0</x:v>
      </x:c>
      <x:c r="J164" s="17" t="str">
        <x:f>IF(B164=0,"SEM SERVIÇO NA GERAL",IF(D164=0,"SEM PAGANTE NO ARQUIVO",IF(H164=0,"BATE",IF(H164&lt;0,"PAGANTES A MENOS","PAGANTES A MAIS"))))</x:f>
        <x:v>BATE</x:v>
      </x:c>
    </x:row>
    <x:row r="165" ht="15" hidden="0" customHeight="1">
      <x:c r="A165" s="17" t="str">
        <x:v>OP-1182</x:v>
      </x:c>
      <x:c r="B165" s="17" t="n">
        <x:f>COUNTIF('Serviços'!$B$2:$B$1264,A165)</x:f>
        <x:v>2</x:v>
      </x:c>
      <x:c r="C165" s="21" t="n">
        <x:f>SUMIF('Serviços'!$B$2:$B$1264,A165,'Serviços'!$I$2:$I$1264)</x:f>
        <x:v>952.96</x:v>
      </x:c>
      <x:c r="D165" s="21" t="n">
        <x:f>COUNTIF('Pagantes'!$B$2:$B$268,A165)</x:f>
        <x:v>1</x:v>
      </x:c>
      <x:c r="E165" s="21" t="n">
        <x:f>SUMIF('Pagantes'!$B$2:$B$268,A165,'Pagantes'!$D$2:$D$268)</x:f>
        <x:v>952.96</x:v>
      </x:c>
      <x:c r="F165" s="21" t="n">
        <x:f>SUMIFS('Pagantes'!$D$2:$D$268,'Pagantes'!$B$2:$B$268,A165,'Pagantes'!$E$2:$E$268,"&lt;&gt;Cancelado")</x:f>
        <x:v>952.96</x:v>
      </x:c>
      <x:c r="G165" s="21" t="n">
        <x:f>E165-F165</x:f>
        <x:v>0</x:v>
      </x:c>
      <x:c r="H165" s="21" t="n">
        <x:f>ROUND(F165-C165,2)</x:f>
        <x:v>0</x:v>
      </x:c>
      <x:c r="I165" s="21" t="n">
        <x:f>ROUND(E165-C165,2)</x:f>
        <x:v>0</x:v>
      </x:c>
      <x:c r="J165" s="17" t="str">
        <x:f>IF(B165=0,"SEM SERVIÇO NA GERAL",IF(D165=0,"SEM PAGANTE NO ARQUIVO",IF(H165=0,"BATE",IF(H165&lt;0,"PAGANTES A MENOS","PAGANTES A MAIS"))))</x:f>
        <x:v>BATE</x:v>
      </x:c>
    </x:row>
    <x:row r="166" ht="15" hidden="0" customHeight="1">
      <x:c r="A166" s="17" t="str">
        <x:v>OP-1183</x:v>
      </x:c>
      <x:c r="B166" s="17" t="n">
        <x:f>COUNTIF('Serviços'!$B$2:$B$1264,A166)</x:f>
        <x:v>2</x:v>
      </x:c>
      <x:c r="C166" s="21" t="n">
        <x:f>SUMIF('Serviços'!$B$2:$B$1264,A166,'Serviços'!$I$2:$I$1264)</x:f>
        <x:v>1598.3</x:v>
      </x:c>
      <x:c r="D166" s="21" t="n">
        <x:f>COUNTIF('Pagantes'!$B$2:$B$268,A166)</x:f>
        <x:v>1</x:v>
      </x:c>
      <x:c r="E166" s="21" t="n">
        <x:f>SUMIF('Pagantes'!$B$2:$B$268,A166,'Pagantes'!$D$2:$D$268)</x:f>
        <x:v>1598.3</x:v>
      </x:c>
      <x:c r="F166" s="21" t="n">
        <x:f>SUMIFS('Pagantes'!$D$2:$D$268,'Pagantes'!$B$2:$B$268,A166,'Pagantes'!$E$2:$E$268,"&lt;&gt;Cancelado")</x:f>
        <x:v>1598.3</x:v>
      </x:c>
      <x:c r="G166" s="21" t="n">
        <x:f>E166-F166</x:f>
        <x:v>0</x:v>
      </x:c>
      <x:c r="H166" s="21" t="n">
        <x:f>ROUND(F166-C166,2)</x:f>
        <x:v>0</x:v>
      </x:c>
      <x:c r="I166" s="21" t="n">
        <x:f>ROUND(E166-C166,2)</x:f>
        <x:v>0</x:v>
      </x:c>
      <x:c r="J166" s="17" t="str">
        <x:f>IF(B166=0,"SEM SERVIÇO NA GERAL",IF(D166=0,"SEM PAGANTE NO ARQUIVO",IF(H166=0,"BATE",IF(H166&lt;0,"PAGANTES A MENOS","PAGANTES A MAIS"))))</x:f>
        <x:v>BATE</x:v>
      </x:c>
    </x:row>
    <x:row r="167" ht="15" hidden="0" customHeight="1">
      <x:c r="A167" s="17" t="str">
        <x:v>OP-1184</x:v>
      </x:c>
      <x:c r="B167" s="17" t="n">
        <x:f>COUNTIF('Serviços'!$B$2:$B$1264,A167)</x:f>
        <x:v>2</x:v>
      </x:c>
      <x:c r="C167" s="21" t="n">
        <x:f>SUMIF('Serviços'!$B$2:$B$1264,A167,'Serviços'!$I$2:$I$1264)</x:f>
        <x:v>952.96</x:v>
      </x:c>
      <x:c r="D167" s="21" t="n">
        <x:f>COUNTIF('Pagantes'!$B$2:$B$268,A167)</x:f>
        <x:v>1</x:v>
      </x:c>
      <x:c r="E167" s="21" t="n">
        <x:f>SUMIF('Pagantes'!$B$2:$B$268,A167,'Pagantes'!$D$2:$D$268)</x:f>
        <x:v>952.96</x:v>
      </x:c>
      <x:c r="F167" s="21" t="n">
        <x:f>SUMIFS('Pagantes'!$D$2:$D$268,'Pagantes'!$B$2:$B$268,A167,'Pagantes'!$E$2:$E$268,"&lt;&gt;Cancelado")</x:f>
        <x:v>952.96</x:v>
      </x:c>
      <x:c r="G167" s="21" t="n">
        <x:f>E167-F167</x:f>
        <x:v>0</x:v>
      </x:c>
      <x:c r="H167" s="21" t="n">
        <x:f>ROUND(F167-C167,2)</x:f>
        <x:v>0</x:v>
      </x:c>
      <x:c r="I167" s="21" t="n">
        <x:f>ROUND(E167-C167,2)</x:f>
        <x:v>0</x:v>
      </x:c>
      <x:c r="J167" s="17" t="str">
        <x:f>IF(B167=0,"SEM SERVIÇO NA GERAL",IF(D167=0,"SEM PAGANTE NO ARQUIVO",IF(H167=0,"BATE",IF(H167&lt;0,"PAGANTES A MENOS","PAGANTES A MAIS"))))</x:f>
        <x:v>BATE</x:v>
      </x:c>
    </x:row>
    <x:row r="168" ht="15" hidden="0" customHeight="1">
      <x:c r="A168" s="17" t="str">
        <x:v>OP-1185</x:v>
      </x:c>
      <x:c r="B168" s="17" t="n">
        <x:f>COUNTIF('Serviços'!$B$2:$B$1264,A168)</x:f>
        <x:v>2</x:v>
      </x:c>
      <x:c r="C168" s="21" t="n">
        <x:f>SUMIF('Serviços'!$B$2:$B$1264,A168,'Serviços'!$I$2:$I$1264)</x:f>
        <x:v>859.1</x:v>
      </x:c>
      <x:c r="D168" s="21" t="n">
        <x:f>COUNTIF('Pagantes'!$B$2:$B$268,A168)</x:f>
        <x:v>1</x:v>
      </x:c>
      <x:c r="E168" s="21" t="n">
        <x:f>SUMIF('Pagantes'!$B$2:$B$268,A168,'Pagantes'!$D$2:$D$268)</x:f>
        <x:v>859.1</x:v>
      </x:c>
      <x:c r="F168" s="21" t="n">
        <x:f>SUMIFS('Pagantes'!$D$2:$D$268,'Pagantes'!$B$2:$B$268,A168,'Pagantes'!$E$2:$E$268,"&lt;&gt;Cancelado")</x:f>
        <x:v>859.1</x:v>
      </x:c>
      <x:c r="G168" s="21" t="n">
        <x:f>E168-F168</x:f>
        <x:v>0</x:v>
      </x:c>
      <x:c r="H168" s="21" t="n">
        <x:f>ROUND(F168-C168,2)</x:f>
        <x:v>0</x:v>
      </x:c>
      <x:c r="I168" s="21" t="n">
        <x:f>ROUND(E168-C168,2)</x:f>
        <x:v>0</x:v>
      </x:c>
      <x:c r="J168" s="17" t="str">
        <x:f>IF(B168=0,"SEM SERVIÇO NA GERAL",IF(D168=0,"SEM PAGANTE NO ARQUIVO",IF(H168=0,"BATE",IF(H168&lt;0,"PAGANTES A MENOS","PAGANTES A MAIS"))))</x:f>
        <x:v>BATE</x:v>
      </x:c>
    </x:row>
    <x:row r="169" ht="15" hidden="0" customHeight="1">
      <x:c r="A169" s="17" t="str">
        <x:v>OP-1186</x:v>
      </x:c>
      <x:c r="B169" s="17" t="n">
        <x:f>COUNTIF('Serviços'!$B$2:$B$1264,A169)</x:f>
        <x:v>2</x:v>
      </x:c>
      <x:c r="C169" s="21" t="n">
        <x:f>SUMIF('Serviços'!$B$2:$B$1264,A169,'Serviços'!$I$2:$I$1264)</x:f>
        <x:v>952.96</x:v>
      </x:c>
      <x:c r="D169" s="21" t="n">
        <x:f>COUNTIF('Pagantes'!$B$2:$B$268,A169)</x:f>
        <x:v>1</x:v>
      </x:c>
      <x:c r="E169" s="21" t="n">
        <x:f>SUMIF('Pagantes'!$B$2:$B$268,A169,'Pagantes'!$D$2:$D$268)</x:f>
        <x:v>952.96</x:v>
      </x:c>
      <x:c r="F169" s="21" t="n">
        <x:f>SUMIFS('Pagantes'!$D$2:$D$268,'Pagantes'!$B$2:$B$268,A169,'Pagantes'!$E$2:$E$268,"&lt;&gt;Cancelado")</x:f>
        <x:v>952.96</x:v>
      </x:c>
      <x:c r="G169" s="21" t="n">
        <x:f>E169-F169</x:f>
        <x:v>0</x:v>
      </x:c>
      <x:c r="H169" s="21" t="n">
        <x:f>ROUND(F169-C169,2)</x:f>
        <x:v>0</x:v>
      </x:c>
      <x:c r="I169" s="21" t="n">
        <x:f>ROUND(E169-C169,2)</x:f>
        <x:v>0</x:v>
      </x:c>
      <x:c r="J169" s="17" t="str">
        <x:f>IF(B169=0,"SEM SERVIÇO NA GERAL",IF(D169=0,"SEM PAGANTE NO ARQUIVO",IF(H169=0,"BATE",IF(H169&lt;0,"PAGANTES A MENOS","PAGANTES A MAIS"))))</x:f>
        <x:v>BATE</x:v>
      </x:c>
    </x:row>
    <x:row r="170" ht="15" hidden="0" customHeight="1">
      <x:c r="A170" s="17" t="str">
        <x:v>OP-1187</x:v>
      </x:c>
      <x:c r="B170" s="17" t="n">
        <x:f>COUNTIF('Serviços'!$B$2:$B$1264,A170)</x:f>
        <x:v>40</x:v>
      </x:c>
      <x:c r="C170" s="21" t="n">
        <x:f>SUMIF('Serviços'!$B$2:$B$1264,A170,'Serviços'!$I$2:$I$1264)</x:f>
        <x:v>4047.819999999999</x:v>
      </x:c>
      <x:c r="D170" s="21" t="n">
        <x:f>COUNTIF('Pagantes'!$B$2:$B$268,A170)</x:f>
        <x:v>1</x:v>
      </x:c>
      <x:c r="E170" s="21" t="n">
        <x:f>SUMIF('Pagantes'!$B$2:$B$268,A170,'Pagantes'!$D$2:$D$268)</x:f>
        <x:v>1674.96</x:v>
      </x:c>
      <x:c r="F170" s="21" t="n">
        <x:f>SUMIFS('Pagantes'!$D$2:$D$268,'Pagantes'!$B$2:$B$268,A170,'Pagantes'!$E$2:$E$268,"&lt;&gt;Cancelado")</x:f>
        <x:v>1674.96</x:v>
      </x:c>
      <x:c r="G170" s="21" t="n">
        <x:f>E170-F170</x:f>
        <x:v>0</x:v>
      </x:c>
      <x:c r="H170" s="21" t="n">
        <x:f>ROUND(F170-C170,2)</x:f>
        <x:v>-2372.86</x:v>
      </x:c>
      <x:c r="I170" s="21" t="n">
        <x:f>ROUND(E170-C170,2)</x:f>
        <x:v>-2372.86</x:v>
      </x:c>
      <x:c r="J170" s="17" t="str">
        <x:f>IF(B170=0,"SEM SERVIÇO NA GERAL",IF(D170=0,"SEM PAGANTE NO ARQUIVO",IF(H170=0,"BATE",IF(H170&lt;0,"PAGANTES A MENOS","PAGANTES A MAIS"))))</x:f>
        <x:v>PAGANTES A MENOS</x:v>
      </x:c>
    </x:row>
    <x:row r="171" ht="15" hidden="0" customHeight="1">
      <x:c r="A171" s="17" t="str">
        <x:v>OP-1188</x:v>
      </x:c>
      <x:c r="B171" s="17" t="n">
        <x:f>COUNTIF('Serviços'!$B$2:$B$1264,A171)</x:f>
        <x:v>6</x:v>
      </x:c>
      <x:c r="C171" s="21" t="n">
        <x:f>SUMIF('Serviços'!$B$2:$B$1264,A171,'Serviços'!$I$2:$I$1264)</x:f>
        <x:v>10368.24</x:v>
      </x:c>
      <x:c r="D171" s="21" t="n">
        <x:f>COUNTIF('Pagantes'!$B$2:$B$268,A171)</x:f>
        <x:v>1</x:v>
      </x:c>
      <x:c r="E171" s="21" t="n">
        <x:f>SUMIF('Pagantes'!$B$2:$B$268,A171,'Pagantes'!$D$2:$D$268)</x:f>
        <x:v>10368.24</x:v>
      </x:c>
      <x:c r="F171" s="21" t="n">
        <x:f>SUMIFS('Pagantes'!$D$2:$D$268,'Pagantes'!$B$2:$B$268,A171,'Pagantes'!$E$2:$E$268,"&lt;&gt;Cancelado")</x:f>
        <x:v>10368.24</x:v>
      </x:c>
      <x:c r="G171" s="21" t="n">
        <x:f>E171-F171</x:f>
        <x:v>0</x:v>
      </x:c>
      <x:c r="H171" s="21" t="n">
        <x:f>ROUND(F171-C171,2)</x:f>
        <x:v>0</x:v>
      </x:c>
      <x:c r="I171" s="21" t="n">
        <x:f>ROUND(E171-C171,2)</x:f>
        <x:v>0</x:v>
      </x:c>
      <x:c r="J171" s="17" t="str">
        <x:f>IF(B171=0,"SEM SERVIÇO NA GERAL",IF(D171=0,"SEM PAGANTE NO ARQUIVO",IF(H171=0,"BATE",IF(H171&lt;0,"PAGANTES A MENOS","PAGANTES A MAIS"))))</x:f>
        <x:v>BATE</x:v>
      </x:c>
    </x:row>
    <x:row r="172" ht="15" hidden="0" customHeight="1">
      <x:c r="A172" s="17" t="str">
        <x:v>OP-1189</x:v>
      </x:c>
      <x:c r="B172" s="17" t="n">
        <x:f>COUNTIF('Serviços'!$B$2:$B$1264,A172)</x:f>
        <x:v>8</x:v>
      </x:c>
      <x:c r="C172" s="21" t="n">
        <x:f>SUMIF('Serviços'!$B$2:$B$1264,A172,'Serviços'!$I$2:$I$1264)</x:f>
        <x:v>16417.04</x:v>
      </x:c>
      <x:c r="D172" s="21" t="n">
        <x:f>COUNTIF('Pagantes'!$B$2:$B$268,A172)</x:f>
        <x:v>0</x:v>
      </x:c>
      <x:c r="E172" s="21" t="n">
        <x:f>SUMIF('Pagantes'!$B$2:$B$268,A172,'Pagantes'!$D$2:$D$268)</x:f>
        <x:v>0</x:v>
      </x:c>
      <x:c r="F172" s="21" t="n">
        <x:f>SUMIFS('Pagantes'!$D$2:$D$268,'Pagantes'!$B$2:$B$268,A172,'Pagantes'!$E$2:$E$268,"&lt;&gt;Cancelado")</x:f>
        <x:v>0</x:v>
      </x:c>
      <x:c r="G172" s="21" t="n">
        <x:f>E172-F172</x:f>
        <x:v>0</x:v>
      </x:c>
      <x:c r="H172" s="21" t="n">
        <x:f>ROUND(F172-C172,2)</x:f>
        <x:v>-16417.04</x:v>
      </x:c>
      <x:c r="I172" s="21" t="n">
        <x:f>ROUND(E172-C172,2)</x:f>
        <x:v>-16417.04</x:v>
      </x:c>
      <x:c r="J172" s="17" t="str">
        <x:f>IF(B172=0,"SEM SERVIÇO NA GERAL",IF(D172=0,"SEM PAGANTE NO ARQUIVO",IF(H172=0,"BATE",IF(H172&lt;0,"PAGANTES A MENOS","PAGANTES A MAIS"))))</x:f>
        <x:v>SEM PAGANTE NO ARQUIVO</x:v>
      </x:c>
    </x:row>
    <x:row r="173" ht="15" hidden="0" customHeight="1">
      <x:c r="A173" s="17" t="str">
        <x:v>OP-1190</x:v>
      </x:c>
      <x:c r="B173" s="17" t="n">
        <x:f>COUNTIF('Serviços'!$B$2:$B$1264,A173)</x:f>
        <x:v>1</x:v>
      </x:c>
      <x:c r="C173" s="21" t="n">
        <x:f>SUMIF('Serviços'!$B$2:$B$1264,A173,'Serviços'!$I$2:$I$1264)</x:f>
        <x:v>475</x:v>
      </x:c>
      <x:c r="D173" s="21" t="n">
        <x:f>COUNTIF('Pagantes'!$B$2:$B$268,A173)</x:f>
        <x:v>0</x:v>
      </x:c>
      <x:c r="E173" s="21" t="n">
        <x:f>SUMIF('Pagantes'!$B$2:$B$268,A173,'Pagantes'!$D$2:$D$268)</x:f>
        <x:v>0</x:v>
      </x:c>
      <x:c r="F173" s="21" t="n">
        <x:f>SUMIFS('Pagantes'!$D$2:$D$268,'Pagantes'!$B$2:$B$268,A173,'Pagantes'!$E$2:$E$268,"&lt;&gt;Cancelado")</x:f>
        <x:v>0</x:v>
      </x:c>
      <x:c r="G173" s="21" t="n">
        <x:f>E173-F173</x:f>
        <x:v>0</x:v>
      </x:c>
      <x:c r="H173" s="21" t="n">
        <x:f>ROUND(F173-C173,2)</x:f>
        <x:v>-475</x:v>
      </x:c>
      <x:c r="I173" s="21" t="n">
        <x:f>ROUND(E173-C173,2)</x:f>
        <x:v>-475</x:v>
      </x:c>
      <x:c r="J173" s="17" t="str">
        <x:f>IF(B173=0,"SEM SERVIÇO NA GERAL",IF(D173=0,"SEM PAGANTE NO ARQUIVO",IF(H173=0,"BATE",IF(H173&lt;0,"PAGANTES A MENOS","PAGANTES A MAIS"))))</x:f>
        <x:v>SEM PAGANTE NO ARQUIVO</x:v>
      </x:c>
    </x:row>
    <x:row r="174" ht="15" hidden="0" customHeight="1">
      <x:c r="A174" s="17" t="str">
        <x:v>OP-1191</x:v>
      </x:c>
      <x:c r="B174" s="17" t="n">
        <x:f>COUNTIF('Serviços'!$B$2:$B$1264,A174)</x:f>
        <x:v>1</x:v>
      </x:c>
      <x:c r="C174" s="21" t="n">
        <x:f>SUMIF('Serviços'!$B$2:$B$1264,A174,'Serviços'!$I$2:$I$1264)</x:f>
        <x:v>2651.03</x:v>
      </x:c>
      <x:c r="D174" s="21" t="n">
        <x:f>COUNTIF('Pagantes'!$B$2:$B$268,A174)</x:f>
        <x:v>0</x:v>
      </x:c>
      <x:c r="E174" s="21" t="n">
        <x:f>SUMIF('Pagantes'!$B$2:$B$268,A174,'Pagantes'!$D$2:$D$268)</x:f>
        <x:v>0</x:v>
      </x:c>
      <x:c r="F174" s="21" t="n">
        <x:f>SUMIFS('Pagantes'!$D$2:$D$268,'Pagantes'!$B$2:$B$268,A174,'Pagantes'!$E$2:$E$268,"&lt;&gt;Cancelado")</x:f>
        <x:v>0</x:v>
      </x:c>
      <x:c r="G174" s="21" t="n">
        <x:f>E174-F174</x:f>
        <x:v>0</x:v>
      </x:c>
      <x:c r="H174" s="21" t="n">
        <x:f>ROUND(F174-C174,2)</x:f>
        <x:v>-2651.03</x:v>
      </x:c>
      <x:c r="I174" s="21" t="n">
        <x:f>ROUND(E174-C174,2)</x:f>
        <x:v>-2651.03</x:v>
      </x:c>
      <x:c r="J174" s="17" t="str">
        <x:f>IF(B174=0,"SEM SERVIÇO NA GERAL",IF(D174=0,"SEM PAGANTE NO ARQUIVO",IF(H174=0,"BATE",IF(H174&lt;0,"PAGANTES A MENOS","PAGANTES A MAIS"))))</x:f>
        <x:v>SEM PAGANTE NO ARQUIVO</x:v>
      </x:c>
    </x:row>
    <x:row r="175" ht="15" hidden="0" customHeight="1">
      <x:c r="A175" s="17" t="str">
        <x:v>OP-1192</x:v>
      </x:c>
      <x:c r="B175" s="17" t="n">
        <x:f>COUNTIF('Serviços'!$B$2:$B$1264,A175)</x:f>
        <x:v>1</x:v>
      </x:c>
      <x:c r="C175" s="21" t="n">
        <x:f>SUMIF('Serviços'!$B$2:$B$1264,A175,'Serviços'!$I$2:$I$1264)</x:f>
        <x:v>2651.03</x:v>
      </x:c>
      <x:c r="D175" s="21" t="n">
        <x:f>COUNTIF('Pagantes'!$B$2:$B$268,A175)</x:f>
        <x:v>0</x:v>
      </x:c>
      <x:c r="E175" s="21" t="n">
        <x:f>SUMIF('Pagantes'!$B$2:$B$268,A175,'Pagantes'!$D$2:$D$268)</x:f>
        <x:v>0</x:v>
      </x:c>
      <x:c r="F175" s="21" t="n">
        <x:f>SUMIFS('Pagantes'!$D$2:$D$268,'Pagantes'!$B$2:$B$268,A175,'Pagantes'!$E$2:$E$268,"&lt;&gt;Cancelado")</x:f>
        <x:v>0</x:v>
      </x:c>
      <x:c r="G175" s="21" t="n">
        <x:f>E175-F175</x:f>
        <x:v>0</x:v>
      </x:c>
      <x:c r="H175" s="21" t="n">
        <x:f>ROUND(F175-C175,2)</x:f>
        <x:v>-2651.03</x:v>
      </x:c>
      <x:c r="I175" s="21" t="n">
        <x:f>ROUND(E175-C175,2)</x:f>
        <x:v>-2651.03</x:v>
      </x:c>
      <x:c r="J175" s="17" t="str">
        <x:f>IF(B175=0,"SEM SERVIÇO NA GERAL",IF(D175=0,"SEM PAGANTE NO ARQUIVO",IF(H175=0,"BATE",IF(H175&lt;0,"PAGANTES A MENOS","PAGANTES A MAIS"))))</x:f>
        <x:v>SEM PAGANTE NO ARQUIVO</x:v>
      </x:c>
    </x:row>
    <x:row r="176" ht="15" hidden="0" customHeight="1">
      <x:c r="A176" s="17" t="str">
        <x:v>OP-1193</x:v>
      </x:c>
      <x:c r="B176" s="17" t="n">
        <x:f>COUNTIF('Serviços'!$B$2:$B$1264,A176)</x:f>
        <x:v>3</x:v>
      </x:c>
      <x:c r="C176" s="21" t="n">
        <x:f>SUMIF('Serviços'!$B$2:$B$1264,A176,'Serviços'!$I$2:$I$1264)</x:f>
        <x:v>1990</x:v>
      </x:c>
      <x:c r="D176" s="21" t="n">
        <x:f>COUNTIF('Pagantes'!$B$2:$B$268,A176)</x:f>
        <x:v>0</x:v>
      </x:c>
      <x:c r="E176" s="21" t="n">
        <x:f>SUMIF('Pagantes'!$B$2:$B$268,A176,'Pagantes'!$D$2:$D$268)</x:f>
        <x:v>0</x:v>
      </x:c>
      <x:c r="F176" s="21" t="n">
        <x:f>SUMIFS('Pagantes'!$D$2:$D$268,'Pagantes'!$B$2:$B$268,A176,'Pagantes'!$E$2:$E$268,"&lt;&gt;Cancelado")</x:f>
        <x:v>0</x:v>
      </x:c>
      <x:c r="G176" s="21" t="n">
        <x:f>E176-F176</x:f>
        <x:v>0</x:v>
      </x:c>
      <x:c r="H176" s="21" t="n">
        <x:f>ROUND(F176-C176,2)</x:f>
        <x:v>-1990</x:v>
      </x:c>
      <x:c r="I176" s="21" t="n">
        <x:f>ROUND(E176-C176,2)</x:f>
        <x:v>-1990</x:v>
      </x:c>
      <x:c r="J176" s="17" t="str">
        <x:f>IF(B176=0,"SEM SERVIÇO NA GERAL",IF(D176=0,"SEM PAGANTE NO ARQUIVO",IF(H176=0,"BATE",IF(H176&lt;0,"PAGANTES A MENOS","PAGANTES A MAIS"))))</x:f>
        <x:v>SEM PAGANTE NO ARQUIVO</x:v>
      </x:c>
    </x:row>
    <x:row r="177" ht="15" hidden="0" customHeight="1">
      <x:c r="A177" s="17" t="str">
        <x:v>OP-1194</x:v>
      </x:c>
      <x:c r="B177" s="17" t="n">
        <x:f>COUNTIF('Serviços'!$B$2:$B$1264,A177)</x:f>
        <x:v>1</x:v>
      </x:c>
      <x:c r="C177" s="21" t="n">
        <x:f>SUMIF('Serviços'!$B$2:$B$1264,A177,'Serviços'!$I$2:$I$1264)</x:f>
        <x:v>509.42</x:v>
      </x:c>
      <x:c r="D177" s="21" t="n">
        <x:f>COUNTIF('Pagantes'!$B$2:$B$268,A177)</x:f>
        <x:v>1</x:v>
      </x:c>
      <x:c r="E177" s="21" t="n">
        <x:f>SUMIF('Pagantes'!$B$2:$B$268,A177,'Pagantes'!$D$2:$D$268)</x:f>
        <x:v>509.42</x:v>
      </x:c>
      <x:c r="F177" s="21" t="n">
        <x:f>SUMIFS('Pagantes'!$D$2:$D$268,'Pagantes'!$B$2:$B$268,A177,'Pagantes'!$E$2:$E$268,"&lt;&gt;Cancelado")</x:f>
        <x:v>509.42</x:v>
      </x:c>
      <x:c r="G177" s="21" t="n">
        <x:f>E177-F177</x:f>
        <x:v>0</x:v>
      </x:c>
      <x:c r="H177" s="21" t="n">
        <x:f>ROUND(F177-C177,2)</x:f>
        <x:v>0</x:v>
      </x:c>
      <x:c r="I177" s="21" t="n">
        <x:f>ROUND(E177-C177,2)</x:f>
        <x:v>0</x:v>
      </x:c>
      <x:c r="J177" s="17" t="str">
        <x:f>IF(B177=0,"SEM SERVIÇO NA GERAL",IF(D177=0,"SEM PAGANTE NO ARQUIVO",IF(H177=0,"BATE",IF(H177&lt;0,"PAGANTES A MENOS","PAGANTES A MAIS"))))</x:f>
        <x:v>BATE</x:v>
      </x:c>
    </x:row>
    <x:row r="178" ht="15" hidden="0" customHeight="1">
      <x:c r="A178" s="17" t="str">
        <x:v>OP-1195</x:v>
      </x:c>
      <x:c r="B178" s="17" t="n">
        <x:f>COUNTIF('Serviços'!$B$2:$B$1264,A178)</x:f>
        <x:v>1</x:v>
      </x:c>
      <x:c r="C178" s="21" t="n">
        <x:f>SUMIF('Serviços'!$B$2:$B$1264,A178,'Serviços'!$I$2:$I$1264)</x:f>
        <x:v>491.86</x:v>
      </x:c>
      <x:c r="D178" s="21" t="n">
        <x:f>COUNTIF('Pagantes'!$B$2:$B$268,A178)</x:f>
        <x:v>1</x:v>
      </x:c>
      <x:c r="E178" s="21" t="n">
        <x:f>SUMIF('Pagantes'!$B$2:$B$268,A178,'Pagantes'!$D$2:$D$268)</x:f>
        <x:v>491.86</x:v>
      </x:c>
      <x:c r="F178" s="21" t="n">
        <x:f>SUMIFS('Pagantes'!$D$2:$D$268,'Pagantes'!$B$2:$B$268,A178,'Pagantes'!$E$2:$E$268,"&lt;&gt;Cancelado")</x:f>
        <x:v>491.86</x:v>
      </x:c>
      <x:c r="G178" s="21" t="n">
        <x:f>E178-F178</x:f>
        <x:v>0</x:v>
      </x:c>
      <x:c r="H178" s="21" t="n">
        <x:f>ROUND(F178-C178,2)</x:f>
        <x:v>0</x:v>
      </x:c>
      <x:c r="I178" s="21" t="n">
        <x:f>ROUND(E178-C178,2)</x:f>
        <x:v>0</x:v>
      </x:c>
      <x:c r="J178" s="17" t="str">
        <x:f>IF(B178=0,"SEM SERVIÇO NA GERAL",IF(D178=0,"SEM PAGANTE NO ARQUIVO",IF(H178=0,"BATE",IF(H178&lt;0,"PAGANTES A MENOS","PAGANTES A MAIS"))))</x:f>
        <x:v>BATE</x:v>
      </x:c>
    </x:row>
    <x:row r="179" ht="15" hidden="0" customHeight="1">
      <x:c r="A179" s="17" t="str">
        <x:v>OP-1196</x:v>
      </x:c>
      <x:c r="B179" s="17" t="n">
        <x:f>COUNTIF('Serviços'!$B$2:$B$1264,A179)</x:f>
        <x:v>1</x:v>
      </x:c>
      <x:c r="C179" s="21" t="n">
        <x:f>SUMIF('Serviços'!$B$2:$B$1264,A179,'Serviços'!$I$2:$I$1264)</x:f>
        <x:v>620.49</x:v>
      </x:c>
      <x:c r="D179" s="21" t="n">
        <x:f>COUNTIF('Pagantes'!$B$2:$B$268,A179)</x:f>
        <x:v>1</x:v>
      </x:c>
      <x:c r="E179" s="21" t="n">
        <x:f>SUMIF('Pagantes'!$B$2:$B$268,A179,'Pagantes'!$D$2:$D$268)</x:f>
        <x:v>620.49</x:v>
      </x:c>
      <x:c r="F179" s="21" t="n">
        <x:f>SUMIFS('Pagantes'!$D$2:$D$268,'Pagantes'!$B$2:$B$268,A179,'Pagantes'!$E$2:$E$268,"&lt;&gt;Cancelado")</x:f>
        <x:v>620.49</x:v>
      </x:c>
      <x:c r="G179" s="21" t="n">
        <x:f>E179-F179</x:f>
        <x:v>0</x:v>
      </x:c>
      <x:c r="H179" s="21" t="n">
        <x:f>ROUND(F179-C179,2)</x:f>
        <x:v>0</x:v>
      </x:c>
      <x:c r="I179" s="21" t="n">
        <x:f>ROUND(E179-C179,2)</x:f>
        <x:v>0</x:v>
      </x:c>
      <x:c r="J179" s="17" t="str">
        <x:f>IF(B179=0,"SEM SERVIÇO NA GERAL",IF(D179=0,"SEM PAGANTE NO ARQUIVO",IF(H179=0,"BATE",IF(H179&lt;0,"PAGANTES A MENOS","PAGANTES A MAIS"))))</x:f>
        <x:v>BATE</x:v>
      </x:c>
    </x:row>
    <x:row r="180" ht="15" hidden="0" customHeight="1">
      <x:c r="A180" s="17" t="str">
        <x:v>OP-1197</x:v>
      </x:c>
      <x:c r="B180" s="17" t="n">
        <x:f>COUNTIF('Serviços'!$B$2:$B$1264,A180)</x:f>
        <x:v>8</x:v>
      </x:c>
      <x:c r="C180" s="21" t="n">
        <x:f>SUMIF('Serviços'!$B$2:$B$1264,A180,'Serviços'!$I$2:$I$1264)</x:f>
        <x:v>4517.88</x:v>
      </x:c>
      <x:c r="D180" s="21" t="n">
        <x:f>COUNTIF('Pagantes'!$B$2:$B$268,A180)</x:f>
        <x:v>1</x:v>
      </x:c>
      <x:c r="E180" s="21" t="n">
        <x:f>SUMIF('Pagantes'!$B$2:$B$268,A180,'Pagantes'!$D$2:$D$268)</x:f>
        <x:v>4517.88</x:v>
      </x:c>
      <x:c r="F180" s="21" t="n">
        <x:f>SUMIFS('Pagantes'!$D$2:$D$268,'Pagantes'!$B$2:$B$268,A180,'Pagantes'!$E$2:$E$268,"&lt;&gt;Cancelado")</x:f>
        <x:v>4517.88</x:v>
      </x:c>
      <x:c r="G180" s="21" t="n">
        <x:f>E180-F180</x:f>
        <x:v>0</x:v>
      </x:c>
      <x:c r="H180" s="21" t="n">
        <x:f>ROUND(F180-C180,2)</x:f>
        <x:v>0</x:v>
      </x:c>
      <x:c r="I180" s="21" t="n">
        <x:f>ROUND(E180-C180,2)</x:f>
        <x:v>0</x:v>
      </x:c>
      <x:c r="J180" s="17" t="str">
        <x:f>IF(B180=0,"SEM SERVIÇO NA GERAL",IF(D180=0,"SEM PAGANTE NO ARQUIVO",IF(H180=0,"BATE",IF(H180&lt;0,"PAGANTES A MENOS","PAGANTES A MAIS"))))</x:f>
        <x:v>BATE</x:v>
      </x:c>
    </x:row>
    <x:row r="181" ht="15" hidden="0" customHeight="1">
      <x:c r="A181" s="17" t="str">
        <x:v>OP-1198</x:v>
      </x:c>
      <x:c r="B181" s="17" t="n">
        <x:f>COUNTIF('Serviços'!$B$2:$B$1264,A181)</x:f>
        <x:v>2</x:v>
      </x:c>
      <x:c r="C181" s="21" t="n">
        <x:f>SUMIF('Serviços'!$B$2:$B$1264,A181,'Serviços'!$I$2:$I$1264)</x:f>
        <x:v>1102.5</x:v>
      </x:c>
      <x:c r="D181" s="21" t="n">
        <x:f>COUNTIF('Pagantes'!$B$2:$B$268,A181)</x:f>
        <x:v>0</x:v>
      </x:c>
      <x:c r="E181" s="21" t="n">
        <x:f>SUMIF('Pagantes'!$B$2:$B$268,A181,'Pagantes'!$D$2:$D$268)</x:f>
        <x:v>0</x:v>
      </x:c>
      <x:c r="F181" s="21" t="n">
        <x:f>SUMIFS('Pagantes'!$D$2:$D$268,'Pagantes'!$B$2:$B$268,A181,'Pagantes'!$E$2:$E$268,"&lt;&gt;Cancelado")</x:f>
        <x:v>0</x:v>
      </x:c>
      <x:c r="G181" s="21" t="n">
        <x:f>E181-F181</x:f>
        <x:v>0</x:v>
      </x:c>
      <x:c r="H181" s="21" t="n">
        <x:f>ROUND(F181-C181,2)</x:f>
        <x:v>-1102.5</x:v>
      </x:c>
      <x:c r="I181" s="21" t="n">
        <x:f>ROUND(E181-C181,2)</x:f>
        <x:v>-1102.5</x:v>
      </x:c>
      <x:c r="J181" s="17" t="str">
        <x:f>IF(B181=0,"SEM SERVIÇO NA GERAL",IF(D181=0,"SEM PAGANTE NO ARQUIVO",IF(H181=0,"BATE",IF(H181&lt;0,"PAGANTES A MENOS","PAGANTES A MAIS"))))</x:f>
        <x:v>SEM PAGANTE NO ARQUIVO</x:v>
      </x:c>
    </x:row>
    <x:row r="182" ht="15" hidden="0" customHeight="1">
      <x:c r="A182" s="17" t="str">
        <x:v>OP-1199</x:v>
      </x:c>
      <x:c r="B182" s="17" t="n">
        <x:f>COUNTIF('Serviços'!$B$2:$B$1264,A182)</x:f>
        <x:v>3</x:v>
      </x:c>
      <x:c r="C182" s="21" t="n">
        <x:f>SUMIF('Serviços'!$B$2:$B$1264,A182,'Serviços'!$I$2:$I$1264)</x:f>
        <x:v>1855.6100000000001</x:v>
      </x:c>
      <x:c r="D182" s="21" t="n">
        <x:f>COUNTIF('Pagantes'!$B$2:$B$268,A182)</x:f>
        <x:v>1</x:v>
      </x:c>
      <x:c r="E182" s="21" t="n">
        <x:f>SUMIF('Pagantes'!$B$2:$B$268,A182,'Pagantes'!$D$2:$D$268)</x:f>
        <x:v>1855.61</x:v>
      </x:c>
      <x:c r="F182" s="21" t="n">
        <x:f>SUMIFS('Pagantes'!$D$2:$D$268,'Pagantes'!$B$2:$B$268,A182,'Pagantes'!$E$2:$E$268,"&lt;&gt;Cancelado")</x:f>
        <x:v>1855.61</x:v>
      </x:c>
      <x:c r="G182" s="21" t="n">
        <x:f>E182-F182</x:f>
        <x:v>0</x:v>
      </x:c>
      <x:c r="H182" s="21" t="n">
        <x:f>ROUND(F182-C182,2)</x:f>
        <x:v>0</x:v>
      </x:c>
      <x:c r="I182" s="21" t="n">
        <x:f>ROUND(E182-C182,2)</x:f>
        <x:v>0</x:v>
      </x:c>
      <x:c r="J182" s="17" t="str">
        <x:f>IF(B182=0,"SEM SERVIÇO NA GERAL",IF(D182=0,"SEM PAGANTE NO ARQUIVO",IF(H182=0,"BATE",IF(H182&lt;0,"PAGANTES A MENOS","PAGANTES A MAIS"))))</x:f>
        <x:v>BATE</x:v>
      </x:c>
    </x:row>
    <x:row r="183" ht="15" hidden="0" customHeight="1">
      <x:c r="A183" s="17" t="str">
        <x:v>OP-1201</x:v>
      </x:c>
      <x:c r="B183" s="17" t="n">
        <x:f>COUNTIF('Serviços'!$B$2:$B$1264,A183)</x:f>
        <x:v>29</x:v>
      </x:c>
      <x:c r="C183" s="21" t="n">
        <x:f>SUMIF('Serviços'!$B$2:$B$1264,A183,'Serviços'!$I$2:$I$1264)</x:f>
        <x:v>9090.170000000004</x:v>
      </x:c>
      <x:c r="D183" s="21" t="n">
        <x:f>COUNTIF('Pagantes'!$B$2:$B$268,A183)</x:f>
        <x:v>0</x:v>
      </x:c>
      <x:c r="E183" s="21" t="n">
        <x:f>SUMIF('Pagantes'!$B$2:$B$268,A183,'Pagantes'!$D$2:$D$268)</x:f>
        <x:v>0</x:v>
      </x:c>
      <x:c r="F183" s="21" t="n">
        <x:f>SUMIFS('Pagantes'!$D$2:$D$268,'Pagantes'!$B$2:$B$268,A183,'Pagantes'!$E$2:$E$268,"&lt;&gt;Cancelado")</x:f>
        <x:v>0</x:v>
      </x:c>
      <x:c r="G183" s="21" t="n">
        <x:f>E183-F183</x:f>
        <x:v>0</x:v>
      </x:c>
      <x:c r="H183" s="21" t="n">
        <x:f>ROUND(F183-C183,2)</x:f>
        <x:v>-9090.17</x:v>
      </x:c>
      <x:c r="I183" s="21" t="n">
        <x:f>ROUND(E183-C183,2)</x:f>
        <x:v>-9090.17</x:v>
      </x:c>
      <x:c r="J183" s="17" t="str">
        <x:f>IF(B183=0,"SEM SERVIÇO NA GERAL",IF(D183=0,"SEM PAGANTE NO ARQUIVO",IF(H183=0,"BATE",IF(H183&lt;0,"PAGANTES A MENOS","PAGANTES A MAIS"))))</x:f>
        <x:v>SEM PAGANTE NO ARQUIVO</x:v>
      </x:c>
    </x:row>
    <x:row r="184" ht="15" hidden="0" customHeight="1">
      <x:c r="A184" s="17" t="str">
        <x:v>OP-1202</x:v>
      </x:c>
      <x:c r="B184" s="17" t="n">
        <x:f>COUNTIF('Serviços'!$B$2:$B$1264,A184)</x:f>
        <x:v>2</x:v>
      </x:c>
      <x:c r="C184" s="21" t="n">
        <x:f>SUMIF('Serviços'!$B$2:$B$1264,A184,'Serviços'!$I$2:$I$1264)</x:f>
        <x:v>928.2</x:v>
      </x:c>
      <x:c r="D184" s="21" t="n">
        <x:f>COUNTIF('Pagantes'!$B$2:$B$268,A184)</x:f>
        <x:v>1</x:v>
      </x:c>
      <x:c r="E184" s="21" t="n">
        <x:f>SUMIF('Pagantes'!$B$2:$B$268,A184,'Pagantes'!$D$2:$D$268)</x:f>
        <x:v>928.2</x:v>
      </x:c>
      <x:c r="F184" s="21" t="n">
        <x:f>SUMIFS('Pagantes'!$D$2:$D$268,'Pagantes'!$B$2:$B$268,A184,'Pagantes'!$E$2:$E$268,"&lt;&gt;Cancelado")</x:f>
        <x:v>928.2</x:v>
      </x:c>
      <x:c r="G184" s="21" t="n">
        <x:f>E184-F184</x:f>
        <x:v>0</x:v>
      </x:c>
      <x:c r="H184" s="21" t="n">
        <x:f>ROUND(F184-C184,2)</x:f>
        <x:v>0</x:v>
      </x:c>
      <x:c r="I184" s="21" t="n">
        <x:f>ROUND(E184-C184,2)</x:f>
        <x:v>0</x:v>
      </x:c>
      <x:c r="J184" s="17" t="str">
        <x:f>IF(B184=0,"SEM SERVIÇO NA GERAL",IF(D184=0,"SEM PAGANTE NO ARQUIVO",IF(H184=0,"BATE",IF(H184&lt;0,"PAGANTES A MENOS","PAGANTES A MAIS"))))</x:f>
        <x:v>BATE</x:v>
      </x:c>
    </x:row>
    <x:row r="185" ht="15" hidden="0" customHeight="1">
      <x:c r="A185" s="17" t="str">
        <x:v>OP-1203</x:v>
      </x:c>
      <x:c r="B185" s="17" t="n">
        <x:f>COUNTIF('Serviços'!$B$2:$B$1264,A185)</x:f>
        <x:v>2</x:v>
      </x:c>
      <x:c r="C185" s="21" t="n">
        <x:f>SUMIF('Serviços'!$B$2:$B$1264,A185,'Serviços'!$I$2:$I$1264)</x:f>
        <x:v>952.96</x:v>
      </x:c>
      <x:c r="D185" s="21" t="n">
        <x:f>COUNTIF('Pagantes'!$B$2:$B$268,A185)</x:f>
        <x:v>1</x:v>
      </x:c>
      <x:c r="E185" s="21" t="n">
        <x:f>SUMIF('Pagantes'!$B$2:$B$268,A185,'Pagantes'!$D$2:$D$268)</x:f>
        <x:v>952.96</x:v>
      </x:c>
      <x:c r="F185" s="21" t="n">
        <x:f>SUMIFS('Pagantes'!$D$2:$D$268,'Pagantes'!$B$2:$B$268,A185,'Pagantes'!$E$2:$E$268,"&lt;&gt;Cancelado")</x:f>
        <x:v>952.96</x:v>
      </x:c>
      <x:c r="G185" s="21" t="n">
        <x:f>E185-F185</x:f>
        <x:v>0</x:v>
      </x:c>
      <x:c r="H185" s="21" t="n">
        <x:f>ROUND(F185-C185,2)</x:f>
        <x:v>0</x:v>
      </x:c>
      <x:c r="I185" s="21" t="n">
        <x:f>ROUND(E185-C185,2)</x:f>
        <x:v>0</x:v>
      </x:c>
      <x:c r="J185" s="17" t="str">
        <x:f>IF(B185=0,"SEM SERVIÇO NA GERAL",IF(D185=0,"SEM PAGANTE NO ARQUIVO",IF(H185=0,"BATE",IF(H185&lt;0,"PAGANTES A MENOS","PAGANTES A MAIS"))))</x:f>
        <x:v>BATE</x:v>
      </x:c>
    </x:row>
    <x:row r="186" ht="15" hidden="0" customHeight="1">
      <x:c r="A186" s="17" t="str">
        <x:v>OP-1204</x:v>
      </x:c>
      <x:c r="B186" s="17" t="n">
        <x:f>COUNTIF('Serviços'!$B$2:$B$1264,A186)</x:f>
        <x:v>2</x:v>
      </x:c>
      <x:c r="C186" s="21" t="n">
        <x:f>SUMIF('Serviços'!$B$2:$B$1264,A186,'Serviços'!$I$2:$I$1264)</x:f>
        <x:v>1050.72</x:v>
      </x:c>
      <x:c r="D186" s="21" t="n">
        <x:f>COUNTIF('Pagantes'!$B$2:$B$268,A186)</x:f>
        <x:v>2</x:v>
      </x:c>
      <x:c r="E186" s="21" t="n">
        <x:f>SUMIF('Pagantes'!$B$2:$B$268,A186,'Pagantes'!$D$2:$D$268)</x:f>
        <x:v>1050.72</x:v>
      </x:c>
      <x:c r="F186" s="21" t="n">
        <x:f>SUMIFS('Pagantes'!$D$2:$D$268,'Pagantes'!$B$2:$B$268,A186,'Pagantes'!$E$2:$E$268,"&lt;&gt;Cancelado")</x:f>
        <x:v>1050.72</x:v>
      </x:c>
      <x:c r="G186" s="21" t="n">
        <x:f>E186-F186</x:f>
        <x:v>0</x:v>
      </x:c>
      <x:c r="H186" s="21" t="n">
        <x:f>ROUND(F186-C186,2)</x:f>
        <x:v>0</x:v>
      </x:c>
      <x:c r="I186" s="21" t="n">
        <x:f>ROUND(E186-C186,2)</x:f>
        <x:v>0</x:v>
      </x:c>
      <x:c r="J186" s="17" t="str">
        <x:f>IF(B186=0,"SEM SERVIÇO NA GERAL",IF(D186=0,"SEM PAGANTE NO ARQUIVO",IF(H186=0,"BATE",IF(H186&lt;0,"PAGANTES A MENOS","PAGANTES A MAIS"))))</x:f>
        <x:v>BATE</x:v>
      </x:c>
    </x:row>
    <x:row r="187" ht="15" hidden="0" customHeight="1">
      <x:c r="A187" s="17" t="str">
        <x:v>OP-1205</x:v>
      </x:c>
      <x:c r="B187" s="17" t="n">
        <x:f>COUNTIF('Serviços'!$B$2:$B$1264,A187)</x:f>
        <x:v>1</x:v>
      </x:c>
      <x:c r="C187" s="21" t="n">
        <x:f>SUMIF('Serviços'!$B$2:$B$1264,A187,'Serviços'!$I$2:$I$1264)</x:f>
        <x:v>522.73</x:v>
      </x:c>
      <x:c r="D187" s="21" t="n">
        <x:f>COUNTIF('Pagantes'!$B$2:$B$268,A187)</x:f>
        <x:v>1</x:v>
      </x:c>
      <x:c r="E187" s="21" t="n">
        <x:f>SUMIF('Pagantes'!$B$2:$B$268,A187,'Pagantes'!$D$2:$D$268)</x:f>
        <x:v>522.73</x:v>
      </x:c>
      <x:c r="F187" s="21" t="n">
        <x:f>SUMIFS('Pagantes'!$D$2:$D$268,'Pagantes'!$B$2:$B$268,A187,'Pagantes'!$E$2:$E$268,"&lt;&gt;Cancelado")</x:f>
        <x:v>522.73</x:v>
      </x:c>
      <x:c r="G187" s="21" t="n">
        <x:f>E187-F187</x:f>
        <x:v>0</x:v>
      </x:c>
      <x:c r="H187" s="21" t="n">
        <x:f>ROUND(F187-C187,2)</x:f>
        <x:v>0</x:v>
      </x:c>
      <x:c r="I187" s="21" t="n">
        <x:f>ROUND(E187-C187,2)</x:f>
        <x:v>0</x:v>
      </x:c>
      <x:c r="J187" s="17" t="str">
        <x:f>IF(B187=0,"SEM SERVIÇO NA GERAL",IF(D187=0,"SEM PAGANTE NO ARQUIVO",IF(H187=0,"BATE",IF(H187&lt;0,"PAGANTES A MENOS","PAGANTES A MAIS"))))</x:f>
        <x:v>BATE</x:v>
      </x:c>
    </x:row>
    <x:row r="188" ht="15" hidden="0" customHeight="1">
      <x:c r="A188" s="17" t="str">
        <x:v>OP-1206</x:v>
      </x:c>
      <x:c r="B188" s="17" t="n">
        <x:f>COUNTIF('Serviços'!$B$2:$B$1264,A188)</x:f>
        <x:v>2</x:v>
      </x:c>
      <x:c r="C188" s="21" t="n">
        <x:f>SUMIF('Serviços'!$B$2:$B$1264,A188,'Serviços'!$I$2:$I$1264)</x:f>
        <x:v>859.1</x:v>
      </x:c>
      <x:c r="D188" s="21" t="n">
        <x:f>COUNTIF('Pagantes'!$B$2:$B$268,A188)</x:f>
        <x:v>1</x:v>
      </x:c>
      <x:c r="E188" s="21" t="n">
        <x:f>SUMIF('Pagantes'!$B$2:$B$268,A188,'Pagantes'!$D$2:$D$268)</x:f>
        <x:v>859.1</x:v>
      </x:c>
      <x:c r="F188" s="21" t="n">
        <x:f>SUMIFS('Pagantes'!$D$2:$D$268,'Pagantes'!$B$2:$B$268,A188,'Pagantes'!$E$2:$E$268,"&lt;&gt;Cancelado")</x:f>
        <x:v>859.1</x:v>
      </x:c>
      <x:c r="G188" s="21" t="n">
        <x:f>E188-F188</x:f>
        <x:v>0</x:v>
      </x:c>
      <x:c r="H188" s="21" t="n">
        <x:f>ROUND(F188-C188,2)</x:f>
        <x:v>0</x:v>
      </x:c>
      <x:c r="I188" s="21" t="n">
        <x:f>ROUND(E188-C188,2)</x:f>
        <x:v>0</x:v>
      </x:c>
      <x:c r="J188" s="17" t="str">
        <x:f>IF(B188=0,"SEM SERVIÇO NA GERAL",IF(D188=0,"SEM PAGANTE NO ARQUIVO",IF(H188=0,"BATE",IF(H188&lt;0,"PAGANTES A MENOS","PAGANTES A MAIS"))))</x:f>
        <x:v>BATE</x:v>
      </x:c>
    </x:row>
    <x:row r="189" ht="15" hidden="0" customHeight="1">
      <x:c r="A189" s="17" t="str">
        <x:v>OP-1207</x:v>
      </x:c>
      <x:c r="B189" s="17" t="n">
        <x:f>COUNTIF('Serviços'!$B$2:$B$1264,A189)</x:f>
        <x:v>2</x:v>
      </x:c>
      <x:c r="C189" s="21" t="n">
        <x:f>SUMIF('Serviços'!$B$2:$B$1264,A189,'Serviços'!$I$2:$I$1264)</x:f>
        <x:v>958.94</x:v>
      </x:c>
      <x:c r="D189" s="21" t="n">
        <x:f>COUNTIF('Pagantes'!$B$2:$B$268,A189)</x:f>
        <x:v>2</x:v>
      </x:c>
      <x:c r="E189" s="21" t="n">
        <x:f>SUMIF('Pagantes'!$B$2:$B$268,A189,'Pagantes'!$D$2:$D$268)</x:f>
        <x:v>958.94</x:v>
      </x:c>
      <x:c r="F189" s="21" t="n">
        <x:f>SUMIFS('Pagantes'!$D$2:$D$268,'Pagantes'!$B$2:$B$268,A189,'Pagantes'!$E$2:$E$268,"&lt;&gt;Cancelado")</x:f>
        <x:v>958.94</x:v>
      </x:c>
      <x:c r="G189" s="21" t="n">
        <x:f>E189-F189</x:f>
        <x:v>0</x:v>
      </x:c>
      <x:c r="H189" s="21" t="n">
        <x:f>ROUND(F189-C189,2)</x:f>
        <x:v>0</x:v>
      </x:c>
      <x:c r="I189" s="21" t="n">
        <x:f>ROUND(E189-C189,2)</x:f>
        <x:v>0</x:v>
      </x:c>
      <x:c r="J189" s="17" t="str">
        <x:f>IF(B189=0,"SEM SERVIÇO NA GERAL",IF(D189=0,"SEM PAGANTE NO ARQUIVO",IF(H189=0,"BATE",IF(H189&lt;0,"PAGANTES A MENOS","PAGANTES A MAIS"))))</x:f>
        <x:v>BATE</x:v>
      </x:c>
    </x:row>
    <x:row r="190" ht="15" hidden="0" customHeight="1">
      <x:c r="A190" s="17" t="str">
        <x:v>OP-1208</x:v>
      </x:c>
      <x:c r="B190" s="17" t="n">
        <x:f>COUNTIF('Serviços'!$B$2:$B$1264,A190)</x:f>
        <x:v>2</x:v>
      </x:c>
      <x:c r="C190" s="21" t="n">
        <x:f>SUMIF('Serviços'!$B$2:$B$1264,A190,'Serviços'!$I$2:$I$1264)</x:f>
        <x:v>1159.1</x:v>
      </x:c>
      <x:c r="D190" s="21" t="n">
        <x:f>COUNTIF('Pagantes'!$B$2:$B$268,A190)</x:f>
        <x:v>2</x:v>
      </x:c>
      <x:c r="E190" s="21" t="n">
        <x:f>SUMIF('Pagantes'!$B$2:$B$268,A190,'Pagantes'!$D$2:$D$268)</x:f>
        <x:v>1159.1</x:v>
      </x:c>
      <x:c r="F190" s="21" t="n">
        <x:f>SUMIFS('Pagantes'!$D$2:$D$268,'Pagantes'!$B$2:$B$268,A190,'Pagantes'!$E$2:$E$268,"&lt;&gt;Cancelado")</x:f>
        <x:v>579.55</x:v>
      </x:c>
      <x:c r="G190" s="21" t="n">
        <x:f>E190-F190</x:f>
        <x:v>579.55</x:v>
      </x:c>
      <x:c r="H190" s="21" t="n">
        <x:f>ROUND(F190-C190,2)</x:f>
        <x:v>-579.55</x:v>
      </x:c>
      <x:c r="I190" s="21" t="n">
        <x:f>ROUND(E190-C190,2)</x:f>
        <x:v>0</x:v>
      </x:c>
      <x:c r="J190" s="17" t="str">
        <x:f>IF(B190=0,"SEM SERVIÇO NA GERAL",IF(D190=0,"SEM PAGANTE NO ARQUIVO",IF(H190=0,"BATE",IF(H190&lt;0,"PAGANTES A MENOS","PAGANTES A MAIS"))))</x:f>
        <x:v>PAGANTES A MENOS</x:v>
      </x:c>
    </x:row>
    <x:row r="191" ht="15" hidden="0" customHeight="1">
      <x:c r="A191" s="17" t="str">
        <x:v>OP-1211</x:v>
      </x:c>
      <x:c r="B191" s="17" t="n">
        <x:f>COUNTIF('Serviços'!$B$2:$B$1264,A191)</x:f>
        <x:v>2</x:v>
      </x:c>
      <x:c r="C191" s="21" t="n">
        <x:f>SUMIF('Serviços'!$B$2:$B$1264,A191,'Serviços'!$I$2:$I$1264)</x:f>
        <x:v>3006.6</x:v>
      </x:c>
      <x:c r="D191" s="21" t="n">
        <x:f>COUNTIF('Pagantes'!$B$2:$B$268,A191)</x:f>
        <x:v>0</x:v>
      </x:c>
      <x:c r="E191" s="21" t="n">
        <x:f>SUMIF('Pagantes'!$B$2:$B$268,A191,'Pagantes'!$D$2:$D$268)</x:f>
        <x:v>0</x:v>
      </x:c>
      <x:c r="F191" s="21" t="n">
        <x:f>SUMIFS('Pagantes'!$D$2:$D$268,'Pagantes'!$B$2:$B$268,A191,'Pagantes'!$E$2:$E$268,"&lt;&gt;Cancelado")</x:f>
        <x:v>0</x:v>
      </x:c>
      <x:c r="G191" s="21" t="n">
        <x:f>E191-F191</x:f>
        <x:v>0</x:v>
      </x:c>
      <x:c r="H191" s="21" t="n">
        <x:f>ROUND(F191-C191,2)</x:f>
        <x:v>-3006.6</x:v>
      </x:c>
      <x:c r="I191" s="21" t="n">
        <x:f>ROUND(E191-C191,2)</x:f>
        <x:v>-3006.6</x:v>
      </x:c>
      <x:c r="J191" s="17" t="str">
        <x:f>IF(B191=0,"SEM SERVIÇO NA GERAL",IF(D191=0,"SEM PAGANTE NO ARQUIVO",IF(H191=0,"BATE",IF(H191&lt;0,"PAGANTES A MENOS","PAGANTES A MAIS"))))</x:f>
        <x:v>SEM PAGANTE NO ARQUIVO</x:v>
      </x:c>
    </x:row>
    <x:row r="192" ht="15" hidden="0" customHeight="1">
      <x:c r="A192" s="17" t="str">
        <x:v>OP-1212</x:v>
      </x:c>
      <x:c r="B192" s="17" t="n">
        <x:f>COUNTIF('Serviços'!$B$2:$B$1264,A192)</x:f>
        <x:v>3</x:v>
      </x:c>
      <x:c r="C192" s="21" t="n">
        <x:f>SUMIF('Serviços'!$B$2:$B$1264,A192,'Serviços'!$I$2:$I$1264)</x:f>
        <x:v>8234.98</x:v>
      </x:c>
      <x:c r="D192" s="21" t="n">
        <x:f>COUNTIF('Pagantes'!$B$2:$B$268,A192)</x:f>
        <x:v>0</x:v>
      </x:c>
      <x:c r="E192" s="21" t="n">
        <x:f>SUMIF('Pagantes'!$B$2:$B$268,A192,'Pagantes'!$D$2:$D$268)</x:f>
        <x:v>0</x:v>
      </x:c>
      <x:c r="F192" s="21" t="n">
        <x:f>SUMIFS('Pagantes'!$D$2:$D$268,'Pagantes'!$B$2:$B$268,A192,'Pagantes'!$E$2:$E$268,"&lt;&gt;Cancelado")</x:f>
        <x:v>0</x:v>
      </x:c>
      <x:c r="G192" s="21" t="n">
        <x:f>E192-F192</x:f>
        <x:v>0</x:v>
      </x:c>
      <x:c r="H192" s="21" t="n">
        <x:f>ROUND(F192-C192,2)</x:f>
        <x:v>-8234.98</x:v>
      </x:c>
      <x:c r="I192" s="21" t="n">
        <x:f>ROUND(E192-C192,2)</x:f>
        <x:v>-8234.98</x:v>
      </x:c>
      <x:c r="J192" s="17" t="str">
        <x:f>IF(B192=0,"SEM SERVIÇO NA GERAL",IF(D192=0,"SEM PAGANTE NO ARQUIVO",IF(H192=0,"BATE",IF(H192&lt;0,"PAGANTES A MENOS","PAGANTES A MAIS"))))</x:f>
        <x:v>SEM PAGANTE NO ARQUIVO</x:v>
      </x:c>
    </x:row>
    <x:row r="193" ht="15" hidden="0" customHeight="1">
      <x:c r="A193" s="17" t="str">
        <x:v>OP-1213</x:v>
      </x:c>
      <x:c r="B193" s="17" t="n">
        <x:f>COUNTIF('Serviços'!$B$2:$B$1264,A193)</x:f>
        <x:v>2</x:v>
      </x:c>
      <x:c r="C193" s="21" t="n">
        <x:f>SUMIF('Serviços'!$B$2:$B$1264,A193,'Serviços'!$I$2:$I$1264)</x:f>
        <x:v>1085.84</x:v>
      </x:c>
      <x:c r="D193" s="21" t="n">
        <x:f>COUNTIF('Pagantes'!$B$2:$B$268,A193)</x:f>
        <x:v>1</x:v>
      </x:c>
      <x:c r="E193" s="21" t="n">
        <x:f>SUMIF('Pagantes'!$B$2:$B$268,A193,'Pagantes'!$D$2:$D$268)</x:f>
        <x:v>1085.84</x:v>
      </x:c>
      <x:c r="F193" s="21" t="n">
        <x:f>SUMIFS('Pagantes'!$D$2:$D$268,'Pagantes'!$B$2:$B$268,A193,'Pagantes'!$E$2:$E$268,"&lt;&gt;Cancelado")</x:f>
        <x:v>1085.84</x:v>
      </x:c>
      <x:c r="G193" s="21" t="n">
        <x:f>E193-F193</x:f>
        <x:v>0</x:v>
      </x:c>
      <x:c r="H193" s="21" t="n">
        <x:f>ROUND(F193-C193,2)</x:f>
        <x:v>0</x:v>
      </x:c>
      <x:c r="I193" s="21" t="n">
        <x:f>ROUND(E193-C193,2)</x:f>
        <x:v>0</x:v>
      </x:c>
      <x:c r="J193" s="17" t="str">
        <x:f>IF(B193=0,"SEM SERVIÇO NA GERAL",IF(D193=0,"SEM PAGANTE NO ARQUIVO",IF(H193=0,"BATE",IF(H193&lt;0,"PAGANTES A MENOS","PAGANTES A MAIS"))))</x:f>
        <x:v>BATE</x:v>
      </x:c>
    </x:row>
    <x:row r="194" ht="15" hidden="0" customHeight="1">
      <x:c r="A194" s="17" t="str">
        <x:v>OP-1214</x:v>
      </x:c>
      <x:c r="B194" s="17" t="n">
        <x:f>COUNTIF('Serviços'!$B$2:$B$1264,A194)</x:f>
        <x:v>1</x:v>
      </x:c>
      <x:c r="C194" s="21" t="n">
        <x:f>SUMIF('Serviços'!$B$2:$B$1264,A194,'Serviços'!$I$2:$I$1264)</x:f>
        <x:v>615.33</x:v>
      </x:c>
      <x:c r="D194" s="21" t="n">
        <x:f>COUNTIF('Pagantes'!$B$2:$B$268,A194)</x:f>
        <x:v>1</x:v>
      </x:c>
      <x:c r="E194" s="21" t="n">
        <x:f>SUMIF('Pagantes'!$B$2:$B$268,A194,'Pagantes'!$D$2:$D$268)</x:f>
        <x:v>615.33</x:v>
      </x:c>
      <x:c r="F194" s="21" t="n">
        <x:f>SUMIFS('Pagantes'!$D$2:$D$268,'Pagantes'!$B$2:$B$268,A194,'Pagantes'!$E$2:$E$268,"&lt;&gt;Cancelado")</x:f>
        <x:v>615.33</x:v>
      </x:c>
      <x:c r="G194" s="21" t="n">
        <x:f>E194-F194</x:f>
        <x:v>0</x:v>
      </x:c>
      <x:c r="H194" s="21" t="n">
        <x:f>ROUND(F194-C194,2)</x:f>
        <x:v>0</x:v>
      </x:c>
      <x:c r="I194" s="21" t="n">
        <x:f>ROUND(E194-C194,2)</x:f>
        <x:v>0</x:v>
      </x:c>
      <x:c r="J194" s="17" t="str">
        <x:f>IF(B194=0,"SEM SERVIÇO NA GERAL",IF(D194=0,"SEM PAGANTE NO ARQUIVO",IF(H194=0,"BATE",IF(H194&lt;0,"PAGANTES A MENOS","PAGANTES A MAIS"))))</x:f>
        <x:v>BATE</x:v>
      </x:c>
    </x:row>
    <x:row r="195" ht="15" hidden="0" customHeight="1">
      <x:c r="A195" s="17" t="str">
        <x:v>OP-1218</x:v>
      </x:c>
      <x:c r="B195" s="17" t="n">
        <x:f>COUNTIF('Serviços'!$B$2:$B$1264,A195)</x:f>
        <x:v>2</x:v>
      </x:c>
      <x:c r="C195" s="21" t="n">
        <x:f>SUMIF('Serviços'!$B$2:$B$1264,A195,'Serviços'!$I$2:$I$1264)</x:f>
        <x:v>1307.98</x:v>
      </x:c>
      <x:c r="D195" s="21" t="n">
        <x:f>COUNTIF('Pagantes'!$B$2:$B$268,A195)</x:f>
        <x:v>3</x:v>
      </x:c>
      <x:c r="E195" s="21" t="n">
        <x:f>SUMIF('Pagantes'!$B$2:$B$268,A195,'Pagantes'!$D$2:$D$268)</x:f>
        <x:v>1307.97</x:v>
      </x:c>
      <x:c r="F195" s="21" t="n">
        <x:f>SUMIFS('Pagantes'!$D$2:$D$268,'Pagantes'!$B$2:$B$268,A195,'Pagantes'!$E$2:$E$268,"&lt;&gt;Cancelado")</x:f>
        <x:v>1307.97</x:v>
      </x:c>
      <x:c r="G195" s="21" t="n">
        <x:f>E195-F195</x:f>
        <x:v>0</x:v>
      </x:c>
      <x:c r="H195" s="21" t="n">
        <x:f>ROUND(F195-C195,2)</x:f>
        <x:v>-0.01</x:v>
      </x:c>
      <x:c r="I195" s="21" t="n">
        <x:f>ROUND(E195-C195,2)</x:f>
        <x:v>-0.01</x:v>
      </x:c>
      <x:c r="J195" s="17" t="str">
        <x:f>IF(B195=0,"SEM SERVIÇO NA GERAL",IF(D195=0,"SEM PAGANTE NO ARQUIVO",IF(H195=0,"BATE",IF(H195&lt;0,"PAGANTES A MENOS","PAGANTES A MAIS"))))</x:f>
        <x:v>PAGANTES A MENOS</x:v>
      </x:c>
    </x:row>
    <x:row r="196" ht="15" hidden="0" customHeight="1">
      <x:c r="A196" s="17" t="str">
        <x:v>OP-1219</x:v>
      </x:c>
      <x:c r="B196" s="17" t="n">
        <x:f>COUNTIF('Serviços'!$B$2:$B$1264,A196)</x:f>
        <x:v>145</x:v>
      </x:c>
      <x:c r="C196" s="21" t="n">
        <x:f>SUMIF('Serviços'!$B$2:$B$1264,A196,'Serviços'!$I$2:$I$1264)</x:f>
        <x:v>90895.35</x:v>
      </x:c>
      <x:c r="D196" s="21" t="n">
        <x:f>COUNTIF('Pagantes'!$B$2:$B$268,A196)</x:f>
        <x:v>0</x:v>
      </x:c>
      <x:c r="E196" s="21" t="n">
        <x:f>SUMIF('Pagantes'!$B$2:$B$268,A196,'Pagantes'!$D$2:$D$268)</x:f>
        <x:v>0</x:v>
      </x:c>
      <x:c r="F196" s="21" t="n">
        <x:f>SUMIFS('Pagantes'!$D$2:$D$268,'Pagantes'!$B$2:$B$268,A196,'Pagantes'!$E$2:$E$268,"&lt;&gt;Cancelado")</x:f>
        <x:v>0</x:v>
      </x:c>
      <x:c r="G196" s="21" t="n">
        <x:f>E196-F196</x:f>
        <x:v>0</x:v>
      </x:c>
      <x:c r="H196" s="21" t="n">
        <x:f>ROUND(F196-C196,2)</x:f>
        <x:v>-90895.35</x:v>
      </x:c>
      <x:c r="I196" s="21" t="n">
        <x:f>ROUND(E196-C196,2)</x:f>
        <x:v>-90895.35</x:v>
      </x:c>
      <x:c r="J196" s="17" t="str">
        <x:f>IF(B196=0,"SEM SERVIÇO NA GERAL",IF(D196=0,"SEM PAGANTE NO ARQUIVO",IF(H196=0,"BATE",IF(H196&lt;0,"PAGANTES A MENOS","PAGANTES A MAIS"))))</x:f>
        <x:v>SEM PAGANTE NO ARQUIVO</x:v>
      </x:c>
    </x:row>
    <x:row r="197" ht="15" hidden="0" customHeight="1">
      <x:c r="A197" s="17" t="str">
        <x:v>OP-1220</x:v>
      </x:c>
      <x:c r="B197" s="17" t="n">
        <x:f>COUNTIF('Serviços'!$B$2:$B$1264,A197)</x:f>
        <x:v>2</x:v>
      </x:c>
      <x:c r="C197" s="21" t="n">
        <x:f>SUMIF('Serviços'!$B$2:$B$1264,A197,'Serviços'!$I$2:$I$1264)</x:f>
        <x:v>1519.12</x:v>
      </x:c>
      <x:c r="D197" s="21" t="n">
        <x:f>COUNTIF('Pagantes'!$B$2:$B$268,A197)</x:f>
        <x:v>1</x:v>
      </x:c>
      <x:c r="E197" s="21" t="n">
        <x:f>SUMIF('Pagantes'!$B$2:$B$268,A197,'Pagantes'!$D$2:$D$268)</x:f>
        <x:v>1519.12</x:v>
      </x:c>
      <x:c r="F197" s="21" t="n">
        <x:f>SUMIFS('Pagantes'!$D$2:$D$268,'Pagantes'!$B$2:$B$268,A197,'Pagantes'!$E$2:$E$268,"&lt;&gt;Cancelado")</x:f>
        <x:v>1519.12</x:v>
      </x:c>
      <x:c r="G197" s="21" t="n">
        <x:f>E197-F197</x:f>
        <x:v>0</x:v>
      </x:c>
      <x:c r="H197" s="21" t="n">
        <x:f>ROUND(F197-C197,2)</x:f>
        <x:v>0</x:v>
      </x:c>
      <x:c r="I197" s="21" t="n">
        <x:f>ROUND(E197-C197,2)</x:f>
        <x:v>0</x:v>
      </x:c>
      <x:c r="J197" s="17" t="str">
        <x:f>IF(B197=0,"SEM SERVIÇO NA GERAL",IF(D197=0,"SEM PAGANTE NO ARQUIVO",IF(H197=0,"BATE",IF(H197&lt;0,"PAGANTES A MENOS","PAGANTES A MAIS"))))</x:f>
        <x:v>BATE</x:v>
      </x:c>
    </x:row>
    <x:row r="198" ht="15" hidden="0" customHeight="1">
      <x:c r="A198" s="17" t="str">
        <x:v>OP-1221</x:v>
      </x:c>
      <x:c r="B198" s="17" t="n">
        <x:f>COUNTIF('Serviços'!$B$2:$B$1264,A198)</x:f>
        <x:v>8</x:v>
      </x:c>
      <x:c r="C198" s="21" t="n">
        <x:f>SUMIF('Serviços'!$B$2:$B$1264,A198,'Serviços'!$I$2:$I$1264)</x:f>
        <x:v>5190.599999999999</x:v>
      </x:c>
      <x:c r="D198" s="21" t="n">
        <x:f>COUNTIF('Pagantes'!$B$2:$B$268,A198)</x:f>
        <x:v>0</x:v>
      </x:c>
      <x:c r="E198" s="21" t="n">
        <x:f>SUMIF('Pagantes'!$B$2:$B$268,A198,'Pagantes'!$D$2:$D$268)</x:f>
        <x:v>0</x:v>
      </x:c>
      <x:c r="F198" s="21" t="n">
        <x:f>SUMIFS('Pagantes'!$D$2:$D$268,'Pagantes'!$B$2:$B$268,A198,'Pagantes'!$E$2:$E$268,"&lt;&gt;Cancelado")</x:f>
        <x:v>0</x:v>
      </x:c>
      <x:c r="G198" s="21" t="n">
        <x:f>E198-F198</x:f>
        <x:v>0</x:v>
      </x:c>
      <x:c r="H198" s="21" t="n">
        <x:f>ROUND(F198-C198,2)</x:f>
        <x:v>-5190.6</x:v>
      </x:c>
      <x:c r="I198" s="21" t="n">
        <x:f>ROUND(E198-C198,2)</x:f>
        <x:v>-5190.6</x:v>
      </x:c>
      <x:c r="J198" s="17" t="str">
        <x:f>IF(B198=0,"SEM SERVIÇO NA GERAL",IF(D198=0,"SEM PAGANTE NO ARQUIVO",IF(H198=0,"BATE",IF(H198&lt;0,"PAGANTES A MENOS","PAGANTES A MAIS"))))</x:f>
        <x:v>SEM PAGANTE NO ARQUIVO</x:v>
      </x:c>
    </x:row>
    <x:row r="199" ht="15" hidden="0" customHeight="1">
      <x:c r="A199" s="17" t="str">
        <x:v>OP-1222</x:v>
      </x:c>
      <x:c r="B199" s="17" t="n">
        <x:f>COUNTIF('Serviços'!$B$2:$B$1264,A199)</x:f>
        <x:v>9</x:v>
      </x:c>
      <x:c r="C199" s="21" t="n">
        <x:f>SUMIF('Serviços'!$B$2:$B$1264,A199,'Serviços'!$I$2:$I$1264)</x:f>
        <x:v>1817.88</x:v>
      </x:c>
      <x:c r="D199" s="21" t="n">
        <x:f>COUNTIF('Pagantes'!$B$2:$B$268,A199)</x:f>
        <x:v>1</x:v>
      </x:c>
      <x:c r="E199" s="21" t="n">
        <x:f>SUMIF('Pagantes'!$B$2:$B$268,A199,'Pagantes'!$D$2:$D$268)</x:f>
        <x:v>1817.88</x:v>
      </x:c>
      <x:c r="F199" s="21" t="n">
        <x:f>SUMIFS('Pagantes'!$D$2:$D$268,'Pagantes'!$B$2:$B$268,A199,'Pagantes'!$E$2:$E$268,"&lt;&gt;Cancelado")</x:f>
        <x:v>1817.88</x:v>
      </x:c>
      <x:c r="G199" s="21" t="n">
        <x:f>E199-F199</x:f>
        <x:v>0</x:v>
      </x:c>
      <x:c r="H199" s="21" t="n">
        <x:f>ROUND(F199-C199,2)</x:f>
        <x:v>0</x:v>
      </x:c>
      <x:c r="I199" s="21" t="n">
        <x:f>ROUND(E199-C199,2)</x:f>
        <x:v>0</x:v>
      </x:c>
      <x:c r="J199" s="17" t="str">
        <x:f>IF(B199=0,"SEM SERVIÇO NA GERAL",IF(D199=0,"SEM PAGANTE NO ARQUIVO",IF(H199=0,"BATE",IF(H199&lt;0,"PAGANTES A MENOS","PAGANTES A MAIS"))))</x:f>
        <x:v>BATE</x:v>
      </x:c>
    </x:row>
    <x:row r="200" ht="15" hidden="0" customHeight="1">
      <x:c r="A200" s="17" t="str">
        <x:v>OP-1223</x:v>
      </x:c>
      <x:c r="B200" s="17" t="n">
        <x:f>COUNTIF('Serviços'!$B$2:$B$1264,A200)</x:f>
        <x:v>2</x:v>
      </x:c>
      <x:c r="C200" s="21" t="n">
        <x:f>SUMIF('Serviços'!$B$2:$B$1264,A200,'Serviços'!$I$2:$I$1264)</x:f>
        <x:v>1307.98</x:v>
      </x:c>
      <x:c r="D200" s="21" t="n">
        <x:f>COUNTIF('Pagantes'!$B$2:$B$268,A200)</x:f>
        <x:v>1</x:v>
      </x:c>
      <x:c r="E200" s="21" t="n">
        <x:f>SUMIF('Pagantes'!$B$2:$B$268,A200,'Pagantes'!$D$2:$D$268)</x:f>
        <x:v>1307.98</x:v>
      </x:c>
      <x:c r="F200" s="21" t="n">
        <x:f>SUMIFS('Pagantes'!$D$2:$D$268,'Pagantes'!$B$2:$B$268,A200,'Pagantes'!$E$2:$E$268,"&lt;&gt;Cancelado")</x:f>
        <x:v>1307.98</x:v>
      </x:c>
      <x:c r="G200" s="21" t="n">
        <x:f>E200-F200</x:f>
        <x:v>0</x:v>
      </x:c>
      <x:c r="H200" s="21" t="n">
        <x:f>ROUND(F200-C200,2)</x:f>
        <x:v>0</x:v>
      </x:c>
      <x:c r="I200" s="21" t="n">
        <x:f>ROUND(E200-C200,2)</x:f>
        <x:v>0</x:v>
      </x:c>
      <x:c r="J200" s="17" t="str">
        <x:f>IF(B200=0,"SEM SERVIÇO NA GERAL",IF(D200=0,"SEM PAGANTE NO ARQUIVO",IF(H200=0,"BATE",IF(H200&lt;0,"PAGANTES A MENOS","PAGANTES A MAIS"))))</x:f>
        <x:v>BATE</x:v>
      </x:c>
    </x:row>
    <x:row r="201" ht="15" hidden="0" customHeight="1">
      <x:c r="A201" s="17" t="str">
        <x:v>OP-1224</x:v>
      </x:c>
      <x:c r="B201" s="17" t="n">
        <x:f>COUNTIF('Serviços'!$B$2:$B$1264,A201)</x:f>
        <x:v>2</x:v>
      </x:c>
      <x:c r="C201" s="21" t="n">
        <x:f>SUMIF('Serviços'!$B$2:$B$1264,A201,'Serviços'!$I$2:$I$1264)</x:f>
        <x:v>859.1</x:v>
      </x:c>
      <x:c r="D201" s="21" t="n">
        <x:f>COUNTIF('Pagantes'!$B$2:$B$268,A201)</x:f>
        <x:v>1</x:v>
      </x:c>
      <x:c r="E201" s="21" t="n">
        <x:f>SUMIF('Pagantes'!$B$2:$B$268,A201,'Pagantes'!$D$2:$D$268)</x:f>
        <x:v>859.1</x:v>
      </x:c>
      <x:c r="F201" s="21" t="n">
        <x:f>SUMIFS('Pagantes'!$D$2:$D$268,'Pagantes'!$B$2:$B$268,A201,'Pagantes'!$E$2:$E$268,"&lt;&gt;Cancelado")</x:f>
        <x:v>859.1</x:v>
      </x:c>
      <x:c r="G201" s="21" t="n">
        <x:f>E201-F201</x:f>
        <x:v>0</x:v>
      </x:c>
      <x:c r="H201" s="21" t="n">
        <x:f>ROUND(F201-C201,2)</x:f>
        <x:v>0</x:v>
      </x:c>
      <x:c r="I201" s="21" t="n">
        <x:f>ROUND(E201-C201,2)</x:f>
        <x:v>0</x:v>
      </x:c>
      <x:c r="J201" s="17" t="str">
        <x:f>IF(B201=0,"SEM SERVIÇO NA GERAL",IF(D201=0,"SEM PAGANTE NO ARQUIVO",IF(H201=0,"BATE",IF(H201&lt;0,"PAGANTES A MENOS","PAGANTES A MAIS"))))</x:f>
        <x:v>BATE</x:v>
      </x:c>
    </x:row>
    <x:row r="202" ht="15" hidden="0" customHeight="1">
      <x:c r="A202" s="17" t="str">
        <x:v>OP-1225</x:v>
      </x:c>
      <x:c r="B202" s="17" t="n">
        <x:f>COUNTIF('Serviços'!$B$2:$B$1264,A202)</x:f>
        <x:v>2</x:v>
      </x:c>
      <x:c r="C202" s="21" t="n">
        <x:f>SUMIF('Serviços'!$B$2:$B$1264,A202,'Serviços'!$I$2:$I$1264)</x:f>
        <x:v>279.16</x:v>
      </x:c>
      <x:c r="D202" s="21" t="n">
        <x:f>COUNTIF('Pagantes'!$B$2:$B$268,A202)</x:f>
        <x:v>1</x:v>
      </x:c>
      <x:c r="E202" s="21" t="n">
        <x:f>SUMIF('Pagantes'!$B$2:$B$268,A202,'Pagantes'!$D$2:$D$268)</x:f>
        <x:v>279.16</x:v>
      </x:c>
      <x:c r="F202" s="21" t="n">
        <x:f>SUMIFS('Pagantes'!$D$2:$D$268,'Pagantes'!$B$2:$B$268,A202,'Pagantes'!$E$2:$E$268,"&lt;&gt;Cancelado")</x:f>
        <x:v>279.16</x:v>
      </x:c>
      <x:c r="G202" s="21" t="n">
        <x:f>E202-F202</x:f>
        <x:v>0</x:v>
      </x:c>
      <x:c r="H202" s="21" t="n">
        <x:f>ROUND(F202-C202,2)</x:f>
        <x:v>0</x:v>
      </x:c>
      <x:c r="I202" s="21" t="n">
        <x:f>ROUND(E202-C202,2)</x:f>
        <x:v>0</x:v>
      </x:c>
      <x:c r="J202" s="17" t="str">
        <x:f>IF(B202=0,"SEM SERVIÇO NA GERAL",IF(D202=0,"SEM PAGANTE NO ARQUIVO",IF(H202=0,"BATE",IF(H202&lt;0,"PAGANTES A MENOS","PAGANTES A MAIS"))))</x:f>
        <x:v>BATE</x:v>
      </x:c>
    </x:row>
    <x:row r="203" ht="15" hidden="0" customHeight="1">
      <x:c r="A203" s="17" t="str">
        <x:v>OP-1226</x:v>
      </x:c>
      <x:c r="B203" s="17" t="n">
        <x:f>COUNTIF('Serviços'!$B$2:$B$1264,A203)</x:f>
        <x:v>1</x:v>
      </x:c>
      <x:c r="C203" s="21" t="n">
        <x:f>SUMIF('Serviços'!$B$2:$B$1264,A203,'Serviços'!$I$2:$I$1264)</x:f>
        <x:v>1109.29</x:v>
      </x:c>
      <x:c r="D203" s="21" t="n">
        <x:f>COUNTIF('Pagantes'!$B$2:$B$268,A203)</x:f>
        <x:v>1</x:v>
      </x:c>
      <x:c r="E203" s="21" t="n">
        <x:f>SUMIF('Pagantes'!$B$2:$B$268,A203,'Pagantes'!$D$2:$D$268)</x:f>
        <x:v>1109.29</x:v>
      </x:c>
      <x:c r="F203" s="21" t="n">
        <x:f>SUMIFS('Pagantes'!$D$2:$D$268,'Pagantes'!$B$2:$B$268,A203,'Pagantes'!$E$2:$E$268,"&lt;&gt;Cancelado")</x:f>
        <x:v>1109.29</x:v>
      </x:c>
      <x:c r="G203" s="21" t="n">
        <x:f>E203-F203</x:f>
        <x:v>0</x:v>
      </x:c>
      <x:c r="H203" s="21" t="n">
        <x:f>ROUND(F203-C203,2)</x:f>
        <x:v>0</x:v>
      </x:c>
      <x:c r="I203" s="21" t="n">
        <x:f>ROUND(E203-C203,2)</x:f>
        <x:v>0</x:v>
      </x:c>
      <x:c r="J203" s="17" t="str">
        <x:f>IF(B203=0,"SEM SERVIÇO NA GERAL",IF(D203=0,"SEM PAGANTE NO ARQUIVO",IF(H203=0,"BATE",IF(H203&lt;0,"PAGANTES A MENOS","PAGANTES A MAIS"))))</x:f>
        <x:v>BATE</x:v>
      </x:c>
    </x:row>
    <x:row r="204" ht="15" hidden="0" customHeight="1">
      <x:c r="A204" s="17" t="str">
        <x:v>OP-1227</x:v>
      </x:c>
      <x:c r="B204" s="17" t="n">
        <x:f>COUNTIF('Serviços'!$B$2:$B$1264,A204)</x:f>
        <x:v>1</x:v>
      </x:c>
      <x:c r="C204" s="21" t="n">
        <x:f>SUMIF('Serviços'!$B$2:$B$1264,A204,'Serviços'!$I$2:$I$1264)</x:f>
        <x:v>959.89</x:v>
      </x:c>
      <x:c r="D204" s="21" t="n">
        <x:f>COUNTIF('Pagantes'!$B$2:$B$268,A204)</x:f>
        <x:v>0</x:v>
      </x:c>
      <x:c r="E204" s="21" t="n">
        <x:f>SUMIF('Pagantes'!$B$2:$B$268,A204,'Pagantes'!$D$2:$D$268)</x:f>
        <x:v>0</x:v>
      </x:c>
      <x:c r="F204" s="21" t="n">
        <x:f>SUMIFS('Pagantes'!$D$2:$D$268,'Pagantes'!$B$2:$B$268,A204,'Pagantes'!$E$2:$E$268,"&lt;&gt;Cancelado")</x:f>
        <x:v>0</x:v>
      </x:c>
      <x:c r="G204" s="21" t="n">
        <x:f>E204-F204</x:f>
        <x:v>0</x:v>
      </x:c>
      <x:c r="H204" s="21" t="n">
        <x:f>ROUND(F204-C204,2)</x:f>
        <x:v>-959.89</x:v>
      </x:c>
      <x:c r="I204" s="21" t="n">
        <x:f>ROUND(E204-C204,2)</x:f>
        <x:v>-959.89</x:v>
      </x:c>
      <x:c r="J204" s="17" t="str">
        <x:f>IF(B204=0,"SEM SERVIÇO NA GERAL",IF(D204=0,"SEM PAGANTE NO ARQUIVO",IF(H204=0,"BATE",IF(H204&lt;0,"PAGANTES A MENOS","PAGANTES A MAIS"))))</x:f>
        <x:v>SEM PAGANTE NO ARQUIVO</x:v>
      </x:c>
    </x:row>
    <x:row r="205" ht="15" hidden="0" customHeight="1">
      <x:c r="A205" s="17" t="str">
        <x:v>OP-1228</x:v>
      </x:c>
      <x:c r="B205" s="17" t="n">
        <x:f>COUNTIF('Serviços'!$B$2:$B$1264,A205)</x:f>
        <x:v>2</x:v>
      </x:c>
      <x:c r="C205" s="21" t="n">
        <x:f>SUMIF('Serviços'!$B$2:$B$1264,A205,'Serviços'!$I$2:$I$1264)</x:f>
        <x:v>952.96</x:v>
      </x:c>
      <x:c r="D205" s="21" t="n">
        <x:f>COUNTIF('Pagantes'!$B$2:$B$268,A205)</x:f>
        <x:v>1</x:v>
      </x:c>
      <x:c r="E205" s="21" t="n">
        <x:f>SUMIF('Pagantes'!$B$2:$B$268,A205,'Pagantes'!$D$2:$D$268)</x:f>
        <x:v>952.96</x:v>
      </x:c>
      <x:c r="F205" s="21" t="n">
        <x:f>SUMIFS('Pagantes'!$D$2:$D$268,'Pagantes'!$B$2:$B$268,A205,'Pagantes'!$E$2:$E$268,"&lt;&gt;Cancelado")</x:f>
        <x:v>952.96</x:v>
      </x:c>
      <x:c r="G205" s="21" t="n">
        <x:f>E205-F205</x:f>
        <x:v>0</x:v>
      </x:c>
      <x:c r="H205" s="21" t="n">
        <x:f>ROUND(F205-C205,2)</x:f>
        <x:v>0</x:v>
      </x:c>
      <x:c r="I205" s="21" t="n">
        <x:f>ROUND(E205-C205,2)</x:f>
        <x:v>0</x:v>
      </x:c>
      <x:c r="J205" s="17" t="str">
        <x:f>IF(B205=0,"SEM SERVIÇO NA GERAL",IF(D205=0,"SEM PAGANTE NO ARQUIVO",IF(H205=0,"BATE",IF(H205&lt;0,"PAGANTES A MENOS","PAGANTES A MAIS"))))</x:f>
        <x:v>BATE</x:v>
      </x:c>
    </x:row>
    <x:row r="206" ht="15" hidden="0" customHeight="1">
      <x:c r="A206" s="17" t="str">
        <x:v>OP-1229</x:v>
      </x:c>
      <x:c r="B206" s="17" t="n">
        <x:f>COUNTIF('Serviços'!$B$2:$B$1264,A206)</x:f>
        <x:v>1</x:v>
      </x:c>
      <x:c r="C206" s="21" t="n">
        <x:f>SUMIF('Serviços'!$B$2:$B$1264,A206,'Serviços'!$I$2:$I$1264)</x:f>
        <x:v>1888.86</x:v>
      </x:c>
      <x:c r="D206" s="21" t="n">
        <x:f>COUNTIF('Pagantes'!$B$2:$B$268,A206)</x:f>
        <x:v>1</x:v>
      </x:c>
      <x:c r="E206" s="21" t="n">
        <x:f>SUMIF('Pagantes'!$B$2:$B$268,A206,'Pagantes'!$D$2:$D$268)</x:f>
        <x:v>1888.86</x:v>
      </x:c>
      <x:c r="F206" s="21" t="n">
        <x:f>SUMIFS('Pagantes'!$D$2:$D$268,'Pagantes'!$B$2:$B$268,A206,'Pagantes'!$E$2:$E$268,"&lt;&gt;Cancelado")</x:f>
        <x:v>1888.86</x:v>
      </x:c>
      <x:c r="G206" s="21" t="n">
        <x:f>E206-F206</x:f>
        <x:v>0</x:v>
      </x:c>
      <x:c r="H206" s="21" t="n">
        <x:f>ROUND(F206-C206,2)</x:f>
        <x:v>0</x:v>
      </x:c>
      <x:c r="I206" s="21" t="n">
        <x:f>ROUND(E206-C206,2)</x:f>
        <x:v>0</x:v>
      </x:c>
      <x:c r="J206" s="17" t="str">
        <x:f>IF(B206=0,"SEM SERVIÇO NA GERAL",IF(D206=0,"SEM PAGANTE NO ARQUIVO",IF(H206=0,"BATE",IF(H206&lt;0,"PAGANTES A MENOS","PAGANTES A MAIS"))))</x:f>
        <x:v>BATE</x:v>
      </x:c>
    </x:row>
    <x:row r="207" ht="15" hidden="0" customHeight="1">
      <x:c r="A207" s="17" t="str">
        <x:v>OP-1230</x:v>
      </x:c>
      <x:c r="B207" s="17" t="n">
        <x:f>COUNTIF('Serviços'!$B$2:$B$1264,A207)</x:f>
        <x:v>1</x:v>
      </x:c>
      <x:c r="C207" s="21" t="n">
        <x:f>SUMIF('Serviços'!$B$2:$B$1264,A207,'Serviços'!$I$2:$I$1264)</x:f>
        <x:v>1109.29</x:v>
      </x:c>
      <x:c r="D207" s="21" t="n">
        <x:f>COUNTIF('Pagantes'!$B$2:$B$268,A207)</x:f>
        <x:v>1</x:v>
      </x:c>
      <x:c r="E207" s="21" t="n">
        <x:f>SUMIF('Pagantes'!$B$2:$B$268,A207,'Pagantes'!$D$2:$D$268)</x:f>
        <x:v>1109.29</x:v>
      </x:c>
      <x:c r="F207" s="21" t="n">
        <x:f>SUMIFS('Pagantes'!$D$2:$D$268,'Pagantes'!$B$2:$B$268,A207,'Pagantes'!$E$2:$E$268,"&lt;&gt;Cancelado")</x:f>
        <x:v>1109.29</x:v>
      </x:c>
      <x:c r="G207" s="21" t="n">
        <x:f>E207-F207</x:f>
        <x:v>0</x:v>
      </x:c>
      <x:c r="H207" s="21" t="n">
        <x:f>ROUND(F207-C207,2)</x:f>
        <x:v>0</x:v>
      </x:c>
      <x:c r="I207" s="21" t="n">
        <x:f>ROUND(E207-C207,2)</x:f>
        <x:v>0</x:v>
      </x:c>
      <x:c r="J207" s="17" t="str">
        <x:f>IF(B207=0,"SEM SERVIÇO NA GERAL",IF(D207=0,"SEM PAGANTE NO ARQUIVO",IF(H207=0,"BATE",IF(H207&lt;0,"PAGANTES A MENOS","PAGANTES A MAIS"))))</x:f>
        <x:v>BATE</x:v>
      </x:c>
    </x:row>
    <x:row r="208" ht="15" hidden="0" customHeight="1">
      <x:c r="A208" s="17" t="str">
        <x:v>OP-1231</x:v>
      </x:c>
      <x:c r="B208" s="17" t="n">
        <x:f>COUNTIF('Serviços'!$B$2:$B$1264,A208)</x:f>
        <x:v>1</x:v>
      </x:c>
      <x:c r="C208" s="21" t="n">
        <x:f>SUMIF('Serviços'!$B$2:$B$1264,A208,'Serviços'!$I$2:$I$1264)</x:f>
        <x:v>1204.29</x:v>
      </x:c>
      <x:c r="D208" s="21" t="n">
        <x:f>COUNTIF('Pagantes'!$B$2:$B$268,A208)</x:f>
        <x:v>1</x:v>
      </x:c>
      <x:c r="E208" s="21" t="n">
        <x:f>SUMIF('Pagantes'!$B$2:$B$268,A208,'Pagantes'!$D$2:$D$268)</x:f>
        <x:v>1204.29</x:v>
      </x:c>
      <x:c r="F208" s="21" t="n">
        <x:f>SUMIFS('Pagantes'!$D$2:$D$268,'Pagantes'!$B$2:$B$268,A208,'Pagantes'!$E$2:$E$268,"&lt;&gt;Cancelado")</x:f>
        <x:v>1204.29</x:v>
      </x:c>
      <x:c r="G208" s="21" t="n">
        <x:f>E208-F208</x:f>
        <x:v>0</x:v>
      </x:c>
      <x:c r="H208" s="21" t="n">
        <x:f>ROUND(F208-C208,2)</x:f>
        <x:v>0</x:v>
      </x:c>
      <x:c r="I208" s="21" t="n">
        <x:f>ROUND(E208-C208,2)</x:f>
        <x:v>0</x:v>
      </x:c>
      <x:c r="J208" s="17" t="str">
        <x:f>IF(B208=0,"SEM SERVIÇO NA GERAL",IF(D208=0,"SEM PAGANTE NO ARQUIVO",IF(H208=0,"BATE",IF(H208&lt;0,"PAGANTES A MENOS","PAGANTES A MAIS"))))</x:f>
        <x:v>BATE</x:v>
      </x:c>
    </x:row>
    <x:row r="209" ht="15" hidden="0" customHeight="1">
      <x:c r="A209" s="17" t="str">
        <x:v>OP-1233</x:v>
      </x:c>
      <x:c r="B209" s="17" t="n">
        <x:f>COUNTIF('Serviços'!$B$2:$B$1264,A209)</x:f>
        <x:v>2</x:v>
      </x:c>
      <x:c r="C209" s="21" t="n">
        <x:f>SUMIF('Serviços'!$B$2:$B$1264,A209,'Serviços'!$I$2:$I$1264)</x:f>
        <x:v>952.96</x:v>
      </x:c>
      <x:c r="D209" s="21" t="n">
        <x:f>COUNTIF('Pagantes'!$B$2:$B$268,A209)</x:f>
        <x:v>1</x:v>
      </x:c>
      <x:c r="E209" s="21" t="n">
        <x:f>SUMIF('Pagantes'!$B$2:$B$268,A209,'Pagantes'!$D$2:$D$268)</x:f>
        <x:v>952.96</x:v>
      </x:c>
      <x:c r="F209" s="21" t="n">
        <x:f>SUMIFS('Pagantes'!$D$2:$D$268,'Pagantes'!$B$2:$B$268,A209,'Pagantes'!$E$2:$E$268,"&lt;&gt;Cancelado")</x:f>
        <x:v>952.96</x:v>
      </x:c>
      <x:c r="G209" s="21" t="n">
        <x:f>E209-F209</x:f>
        <x:v>0</x:v>
      </x:c>
      <x:c r="H209" s="21" t="n">
        <x:f>ROUND(F209-C209,2)</x:f>
        <x:v>0</x:v>
      </x:c>
      <x:c r="I209" s="21" t="n">
        <x:f>ROUND(E209-C209,2)</x:f>
        <x:v>0</x:v>
      </x:c>
      <x:c r="J209" s="17" t="str">
        <x:f>IF(B209=0,"SEM SERVIÇO NA GERAL",IF(D209=0,"SEM PAGANTE NO ARQUIVO",IF(H209=0,"BATE",IF(H209&lt;0,"PAGANTES A MENOS","PAGANTES A MAIS"))))</x:f>
        <x:v>BATE</x:v>
      </x:c>
    </x:row>
    <x:row r="210" ht="15" hidden="0" customHeight="1">
      <x:c r="A210" s="17" t="str">
        <x:v>OP-1234</x:v>
      </x:c>
      <x:c r="B210" s="17" t="n">
        <x:f>COUNTIF('Serviços'!$B$2:$B$1264,A210)</x:f>
        <x:v>5</x:v>
      </x:c>
      <x:c r="C210" s="21" t="n">
        <x:f>SUMIF('Serviços'!$B$2:$B$1264,A210,'Serviços'!$I$2:$I$1264)</x:f>
        <x:v>2531.17</x:v>
      </x:c>
      <x:c r="D210" s="21" t="n">
        <x:f>COUNTIF('Pagantes'!$B$2:$B$268,A210)</x:f>
        <x:v>4</x:v>
      </x:c>
      <x:c r="E210" s="21" t="n">
        <x:f>SUMIF('Pagantes'!$B$2:$B$268,A210,'Pagantes'!$D$2:$D$268)</x:f>
        <x:v>2531.16</x:v>
      </x:c>
      <x:c r="F210" s="21" t="n">
        <x:f>SUMIFS('Pagantes'!$D$2:$D$268,'Pagantes'!$B$2:$B$268,A210,'Pagantes'!$E$2:$E$268,"&lt;&gt;Cancelado")</x:f>
        <x:v>2531.16</x:v>
      </x:c>
      <x:c r="G210" s="21" t="n">
        <x:f>E210-F210</x:f>
        <x:v>0</x:v>
      </x:c>
      <x:c r="H210" s="21" t="n">
        <x:f>ROUND(F210-C210,2)</x:f>
        <x:v>-0.01</x:v>
      </x:c>
      <x:c r="I210" s="21" t="n">
        <x:f>ROUND(E210-C210,2)</x:f>
        <x:v>-0.01</x:v>
      </x:c>
      <x:c r="J210" s="17" t="str">
        <x:f>IF(B210=0,"SEM SERVIÇO NA GERAL",IF(D210=0,"SEM PAGANTE NO ARQUIVO",IF(H210=0,"BATE",IF(H210&lt;0,"PAGANTES A MENOS","PAGANTES A MAIS"))))</x:f>
        <x:v>PAGANTES A MENOS</x:v>
      </x:c>
    </x:row>
    <x:row r="211" ht="15" hidden="0" customHeight="1">
      <x:c r="A211" s="17" t="str">
        <x:v>OP-1235</x:v>
      </x:c>
      <x:c r="B211" s="17" t="n">
        <x:f>COUNTIF('Serviços'!$B$2:$B$1264,A211)</x:f>
        <x:v>2</x:v>
      </x:c>
      <x:c r="C211" s="21" t="n">
        <x:f>SUMIF('Serviços'!$B$2:$B$1264,A211,'Serviços'!$I$2:$I$1264)</x:f>
        <x:v>3760.32</x:v>
      </x:c>
      <x:c r="D211" s="21" t="n">
        <x:f>COUNTIF('Pagantes'!$B$2:$B$268,A211)</x:f>
        <x:v>0</x:v>
      </x:c>
      <x:c r="E211" s="21" t="n">
        <x:f>SUMIF('Pagantes'!$B$2:$B$268,A211,'Pagantes'!$D$2:$D$268)</x:f>
        <x:v>0</x:v>
      </x:c>
      <x:c r="F211" s="21" t="n">
        <x:f>SUMIFS('Pagantes'!$D$2:$D$268,'Pagantes'!$B$2:$B$268,A211,'Pagantes'!$E$2:$E$268,"&lt;&gt;Cancelado")</x:f>
        <x:v>0</x:v>
      </x:c>
      <x:c r="G211" s="21" t="n">
        <x:f>E211-F211</x:f>
        <x:v>0</x:v>
      </x:c>
      <x:c r="H211" s="21" t="n">
        <x:f>ROUND(F211-C211,2)</x:f>
        <x:v>-3760.32</x:v>
      </x:c>
      <x:c r="I211" s="21" t="n">
        <x:f>ROUND(E211-C211,2)</x:f>
        <x:v>-3760.32</x:v>
      </x:c>
      <x:c r="J211" s="17" t="str">
        <x:f>IF(B211=0,"SEM SERVIÇO NA GERAL",IF(D211=0,"SEM PAGANTE NO ARQUIVO",IF(H211=0,"BATE",IF(H211&lt;0,"PAGANTES A MENOS","PAGANTES A MAIS"))))</x:f>
        <x:v>SEM PAGANTE NO ARQUIVO</x:v>
      </x:c>
    </x:row>
    <x:row r="212" ht="15" hidden="0" customHeight="1">
      <x:c r="A212" s="17" t="str">
        <x:v>OP-1236</x:v>
      </x:c>
      <x:c r="B212" s="17" t="n">
        <x:f>COUNTIF('Serviços'!$B$2:$B$1264,A212)</x:f>
        <x:v>1</x:v>
      </x:c>
      <x:c r="C212" s="21" t="n">
        <x:f>SUMIF('Serviços'!$B$2:$B$1264,A212,'Serviços'!$I$2:$I$1264)</x:f>
        <x:v>465</x:v>
      </x:c>
      <x:c r="D212" s="21" t="n">
        <x:f>COUNTIF('Pagantes'!$B$2:$B$268,A212)</x:f>
        <x:v>1</x:v>
      </x:c>
      <x:c r="E212" s="21" t="n">
        <x:f>SUMIF('Pagantes'!$B$2:$B$268,A212,'Pagantes'!$D$2:$D$268)</x:f>
        <x:v>465</x:v>
      </x:c>
      <x:c r="F212" s="21" t="n">
        <x:f>SUMIFS('Pagantes'!$D$2:$D$268,'Pagantes'!$B$2:$B$268,A212,'Pagantes'!$E$2:$E$268,"&lt;&gt;Cancelado")</x:f>
        <x:v>465</x:v>
      </x:c>
      <x:c r="G212" s="21" t="n">
        <x:f>E212-F212</x:f>
        <x:v>0</x:v>
      </x:c>
      <x:c r="H212" s="21" t="n">
        <x:f>ROUND(F212-C212,2)</x:f>
        <x:v>0</x:v>
      </x:c>
      <x:c r="I212" s="21" t="n">
        <x:f>ROUND(E212-C212,2)</x:f>
        <x:v>0</x:v>
      </x:c>
      <x:c r="J212" s="17" t="str">
        <x:f>IF(B212=0,"SEM SERVIÇO NA GERAL",IF(D212=0,"SEM PAGANTE NO ARQUIVO",IF(H212=0,"BATE",IF(H212&lt;0,"PAGANTES A MENOS","PAGANTES A MAIS"))))</x:f>
        <x:v>BATE</x:v>
      </x:c>
    </x:row>
    <x:row r="213" ht="15" hidden="0" customHeight="1">
      <x:c r="A213" s="17" t="str">
        <x:v>OP-1237</x:v>
      </x:c>
      <x:c r="B213" s="17" t="n">
        <x:f>COUNTIF('Serviços'!$B$2:$B$1264,A213)</x:f>
        <x:v>1</x:v>
      </x:c>
      <x:c r="C213" s="21" t="n">
        <x:f>SUMIF('Serviços'!$B$2:$B$1264,A213,'Serviços'!$I$2:$I$1264)</x:f>
        <x:v>465</x:v>
      </x:c>
      <x:c r="D213" s="21" t="n">
        <x:f>COUNTIF('Pagantes'!$B$2:$B$268,A213)</x:f>
        <x:v>1</x:v>
      </x:c>
      <x:c r="E213" s="21" t="n">
        <x:f>SUMIF('Pagantes'!$B$2:$B$268,A213,'Pagantes'!$D$2:$D$268)</x:f>
        <x:v>465</x:v>
      </x:c>
      <x:c r="F213" s="21" t="n">
        <x:f>SUMIFS('Pagantes'!$D$2:$D$268,'Pagantes'!$B$2:$B$268,A213,'Pagantes'!$E$2:$E$268,"&lt;&gt;Cancelado")</x:f>
        <x:v>465</x:v>
      </x:c>
      <x:c r="G213" s="21" t="n">
        <x:f>E213-F213</x:f>
        <x:v>0</x:v>
      </x:c>
      <x:c r="H213" s="21" t="n">
        <x:f>ROUND(F213-C213,2)</x:f>
        <x:v>0</x:v>
      </x:c>
      <x:c r="I213" s="21" t="n">
        <x:f>ROUND(E213-C213,2)</x:f>
        <x:v>0</x:v>
      </x:c>
      <x:c r="J213" s="17" t="str">
        <x:f>IF(B213=0,"SEM SERVIÇO NA GERAL",IF(D213=0,"SEM PAGANTE NO ARQUIVO",IF(H213=0,"BATE",IF(H213&lt;0,"PAGANTES A MENOS","PAGANTES A MAIS"))))</x:f>
        <x:v>BATE</x:v>
      </x:c>
    </x:row>
    <x:row r="214" ht="15" hidden="0" customHeight="1">
      <x:c r="A214" s="17" t="str">
        <x:v>OP-1238</x:v>
      </x:c>
      <x:c r="B214" s="17" t="n">
        <x:f>COUNTIF('Serviços'!$B$2:$B$1264,A214)</x:f>
        <x:v>1</x:v>
      </x:c>
      <x:c r="C214" s="21" t="n">
        <x:f>SUMIF('Serviços'!$B$2:$B$1264,A214,'Serviços'!$I$2:$I$1264)</x:f>
        <x:v>465</x:v>
      </x:c>
      <x:c r="D214" s="21" t="n">
        <x:f>COUNTIF('Pagantes'!$B$2:$B$268,A214)</x:f>
        <x:v>1</x:v>
      </x:c>
      <x:c r="E214" s="21" t="n">
        <x:f>SUMIF('Pagantes'!$B$2:$B$268,A214,'Pagantes'!$D$2:$D$268)</x:f>
        <x:v>465</x:v>
      </x:c>
      <x:c r="F214" s="21" t="n">
        <x:f>SUMIFS('Pagantes'!$D$2:$D$268,'Pagantes'!$B$2:$B$268,A214,'Pagantes'!$E$2:$E$268,"&lt;&gt;Cancelado")</x:f>
        <x:v>465</x:v>
      </x:c>
      <x:c r="G214" s="21" t="n">
        <x:f>E214-F214</x:f>
        <x:v>0</x:v>
      </x:c>
      <x:c r="H214" s="21" t="n">
        <x:f>ROUND(F214-C214,2)</x:f>
        <x:v>0</x:v>
      </x:c>
      <x:c r="I214" s="21" t="n">
        <x:f>ROUND(E214-C214,2)</x:f>
        <x:v>0</x:v>
      </x:c>
      <x:c r="J214" s="17" t="str">
        <x:f>IF(B214=0,"SEM SERVIÇO NA GERAL",IF(D214=0,"SEM PAGANTE NO ARQUIVO",IF(H214=0,"BATE",IF(H214&lt;0,"PAGANTES A MENOS","PAGANTES A MAIS"))))</x:f>
        <x:v>BATE</x:v>
      </x:c>
    </x:row>
    <x:row r="215" ht="15" hidden="0" customHeight="1">
      <x:c r="A215" s="17" t="str">
        <x:v>OP-1239</x:v>
      </x:c>
      <x:c r="B215" s="17" t="n">
        <x:f>COUNTIF('Serviços'!$B$2:$B$1264,A215)</x:f>
        <x:v>1</x:v>
      </x:c>
      <x:c r="C215" s="21" t="n">
        <x:f>SUMIF('Serviços'!$B$2:$B$1264,A215,'Serviços'!$I$2:$I$1264)</x:f>
        <x:v>465</x:v>
      </x:c>
      <x:c r="D215" s="21" t="n">
        <x:f>COUNTIF('Pagantes'!$B$2:$B$268,A215)</x:f>
        <x:v>1</x:v>
      </x:c>
      <x:c r="E215" s="21" t="n">
        <x:f>SUMIF('Pagantes'!$B$2:$B$268,A215,'Pagantes'!$D$2:$D$268)</x:f>
        <x:v>465</x:v>
      </x:c>
      <x:c r="F215" s="21" t="n">
        <x:f>SUMIFS('Pagantes'!$D$2:$D$268,'Pagantes'!$B$2:$B$268,A215,'Pagantes'!$E$2:$E$268,"&lt;&gt;Cancelado")</x:f>
        <x:v>465</x:v>
      </x:c>
      <x:c r="G215" s="21" t="n">
        <x:f>E215-F215</x:f>
        <x:v>0</x:v>
      </x:c>
      <x:c r="H215" s="21" t="n">
        <x:f>ROUND(F215-C215,2)</x:f>
        <x:v>0</x:v>
      </x:c>
      <x:c r="I215" s="21" t="n">
        <x:f>ROUND(E215-C215,2)</x:f>
        <x:v>0</x:v>
      </x:c>
      <x:c r="J215" s="17" t="str">
        <x:f>IF(B215=0,"SEM SERVIÇO NA GERAL",IF(D215=0,"SEM PAGANTE NO ARQUIVO",IF(H215=0,"BATE",IF(H215&lt;0,"PAGANTES A MENOS","PAGANTES A MAIS"))))</x:f>
        <x:v>BATE</x:v>
      </x:c>
    </x:row>
    <x:row r="216" ht="15" hidden="0" customHeight="1">
      <x:c r="A216" s="17" t="str">
        <x:v>OP-1240</x:v>
      </x:c>
      <x:c r="B216" s="17" t="n">
        <x:f>COUNTIF('Serviços'!$B$2:$B$1264,A216)</x:f>
        <x:v>2</x:v>
      </x:c>
      <x:c r="C216" s="21" t="n">
        <x:f>SUMIF('Serviços'!$B$2:$B$1264,A216,'Serviços'!$I$2:$I$1264)</x:f>
        <x:v>2316.34</x:v>
      </x:c>
      <x:c r="D216" s="21" t="n">
        <x:f>COUNTIF('Pagantes'!$B$2:$B$268,A216)</x:f>
        <x:v>0</x:v>
      </x:c>
      <x:c r="E216" s="21" t="n">
        <x:f>SUMIF('Pagantes'!$B$2:$B$268,A216,'Pagantes'!$D$2:$D$268)</x:f>
        <x:v>0</x:v>
      </x:c>
      <x:c r="F216" s="21" t="n">
        <x:f>SUMIFS('Pagantes'!$D$2:$D$268,'Pagantes'!$B$2:$B$268,A216,'Pagantes'!$E$2:$E$268,"&lt;&gt;Cancelado")</x:f>
        <x:v>0</x:v>
      </x:c>
      <x:c r="G216" s="21" t="n">
        <x:f>E216-F216</x:f>
        <x:v>0</x:v>
      </x:c>
      <x:c r="H216" s="21" t="n">
        <x:f>ROUND(F216-C216,2)</x:f>
        <x:v>-2316.34</x:v>
      </x:c>
      <x:c r="I216" s="21" t="n">
        <x:f>ROUND(E216-C216,2)</x:f>
        <x:v>-2316.34</x:v>
      </x:c>
      <x:c r="J216" s="17" t="str">
        <x:f>IF(B216=0,"SEM SERVIÇO NA GERAL",IF(D216=0,"SEM PAGANTE NO ARQUIVO",IF(H216=0,"BATE",IF(H216&lt;0,"PAGANTES A MENOS","PAGANTES A MAIS"))))</x:f>
        <x:v>SEM PAGANTE NO ARQUIVO</x:v>
      </x:c>
    </x:row>
    <x:row r="217" ht="15" hidden="0" customHeight="1">
      <x:c r="A217" s="17" t="str">
        <x:v>OP-1243</x:v>
      </x:c>
      <x:c r="B217" s="17" t="n">
        <x:f>COUNTIF('Serviços'!$B$2:$B$1264,A217)</x:f>
        <x:v>2</x:v>
      </x:c>
      <x:c r="C217" s="21" t="n">
        <x:f>SUMIF('Serviços'!$B$2:$B$1264,A217,'Serviços'!$I$2:$I$1264)</x:f>
        <x:v>1380</x:v>
      </x:c>
      <x:c r="D217" s="21" t="n">
        <x:f>COUNTIF('Pagantes'!$B$2:$B$268,A217)</x:f>
        <x:v>1</x:v>
      </x:c>
      <x:c r="E217" s="21" t="n">
        <x:f>SUMIF('Pagantes'!$B$2:$B$268,A217,'Pagantes'!$D$2:$D$268)</x:f>
        <x:v>1380</x:v>
      </x:c>
      <x:c r="F217" s="21" t="n">
        <x:f>SUMIFS('Pagantes'!$D$2:$D$268,'Pagantes'!$B$2:$B$268,A217,'Pagantes'!$E$2:$E$268,"&lt;&gt;Cancelado")</x:f>
        <x:v>1380</x:v>
      </x:c>
      <x:c r="G217" s="21" t="n">
        <x:f>E217-F217</x:f>
        <x:v>0</x:v>
      </x:c>
      <x:c r="H217" s="21" t="n">
        <x:f>ROUND(F217-C217,2)</x:f>
        <x:v>0</x:v>
      </x:c>
      <x:c r="I217" s="21" t="n">
        <x:f>ROUND(E217-C217,2)</x:f>
        <x:v>0</x:v>
      </x:c>
      <x:c r="J217" s="17" t="str">
        <x:f>IF(B217=0,"SEM SERVIÇO NA GERAL",IF(D217=0,"SEM PAGANTE NO ARQUIVO",IF(H217=0,"BATE",IF(H217&lt;0,"PAGANTES A MENOS","PAGANTES A MAIS"))))</x:f>
        <x:v>BATE</x:v>
      </x:c>
    </x:row>
    <x:row r="218" ht="15" hidden="0" customHeight="1">
      <x:c r="A218" s="17" t="str">
        <x:v>OP-1244</x:v>
      </x:c>
      <x:c r="B218" s="17" t="n">
        <x:f>COUNTIF('Serviços'!$B$2:$B$1264,A218)</x:f>
        <x:v>8</x:v>
      </x:c>
      <x:c r="C218" s="21" t="n">
        <x:f>SUMIF('Serviços'!$B$2:$B$1264,A218,'Serviços'!$I$2:$I$1264)</x:f>
        <x:v>4210.08</x:v>
      </x:c>
      <x:c r="D218" s="21" t="n">
        <x:f>COUNTIF('Pagantes'!$B$2:$B$268,A218)</x:f>
        <x:v>1</x:v>
      </x:c>
      <x:c r="E218" s="21" t="n">
        <x:f>SUMIF('Pagantes'!$B$2:$B$268,A218,'Pagantes'!$D$2:$D$268)</x:f>
        <x:v>4210.08</x:v>
      </x:c>
      <x:c r="F218" s="21" t="n">
        <x:f>SUMIFS('Pagantes'!$D$2:$D$268,'Pagantes'!$B$2:$B$268,A218,'Pagantes'!$E$2:$E$268,"&lt;&gt;Cancelado")</x:f>
        <x:v>4210.08</x:v>
      </x:c>
      <x:c r="G218" s="21" t="n">
        <x:f>E218-F218</x:f>
        <x:v>0</x:v>
      </x:c>
      <x:c r="H218" s="21" t="n">
        <x:f>ROUND(F218-C218,2)</x:f>
        <x:v>0</x:v>
      </x:c>
      <x:c r="I218" s="21" t="n">
        <x:f>ROUND(E218-C218,2)</x:f>
        <x:v>0</x:v>
      </x:c>
      <x:c r="J218" s="17" t="str">
        <x:f>IF(B218=0,"SEM SERVIÇO NA GERAL",IF(D218=0,"SEM PAGANTE NO ARQUIVO",IF(H218=0,"BATE",IF(H218&lt;0,"PAGANTES A MENOS","PAGANTES A MAIS"))))</x:f>
        <x:v>BATE</x:v>
      </x:c>
    </x:row>
    <x:row r="219" ht="15" hidden="0" customHeight="1">
      <x:c r="A219" s="17" t="str">
        <x:v>OP-1245</x:v>
      </x:c>
      <x:c r="B219" s="17" t="n">
        <x:f>COUNTIF('Serviços'!$B$2:$B$1264,A219)</x:f>
        <x:v>2</x:v>
      </x:c>
      <x:c r="C219" s="21" t="n">
        <x:f>SUMIF('Serviços'!$B$2:$B$1264,A219,'Serviços'!$I$2:$I$1264)</x:f>
        <x:v>952.96</x:v>
      </x:c>
      <x:c r="D219" s="21" t="n">
        <x:f>COUNTIF('Pagantes'!$B$2:$B$268,A219)</x:f>
        <x:v>1</x:v>
      </x:c>
      <x:c r="E219" s="21" t="n">
        <x:f>SUMIF('Pagantes'!$B$2:$B$268,A219,'Pagantes'!$D$2:$D$268)</x:f>
        <x:v>952.96</x:v>
      </x:c>
      <x:c r="F219" s="21" t="n">
        <x:f>SUMIFS('Pagantes'!$D$2:$D$268,'Pagantes'!$B$2:$B$268,A219,'Pagantes'!$E$2:$E$268,"&lt;&gt;Cancelado")</x:f>
        <x:v>952.96</x:v>
      </x:c>
      <x:c r="G219" s="21" t="n">
        <x:f>E219-F219</x:f>
        <x:v>0</x:v>
      </x:c>
      <x:c r="H219" s="21" t="n">
        <x:f>ROUND(F219-C219,2)</x:f>
        <x:v>0</x:v>
      </x:c>
      <x:c r="I219" s="21" t="n">
        <x:f>ROUND(E219-C219,2)</x:f>
        <x:v>0</x:v>
      </x:c>
      <x:c r="J219" s="17" t="str">
        <x:f>IF(B219=0,"SEM SERVIÇO NA GERAL",IF(D219=0,"SEM PAGANTE NO ARQUIVO",IF(H219=0,"BATE",IF(H219&lt;0,"PAGANTES A MENOS","PAGANTES A MAIS"))))</x:f>
        <x:v>BATE</x:v>
      </x:c>
    </x:row>
    <x:row r="220" ht="15" hidden="0" customHeight="1">
      <x:c r="A220" s="17" t="str">
        <x:v>OP-1246</x:v>
      </x:c>
      <x:c r="B220" s="17" t="n">
        <x:f>COUNTIF('Serviços'!$B$2:$B$1264,A220)</x:f>
        <x:v>2</x:v>
      </x:c>
      <x:c r="C220" s="21" t="n">
        <x:f>SUMIF('Serviços'!$B$2:$B$1264,A220,'Serviços'!$I$2:$I$1264)</x:f>
        <x:v>1325.43</x:v>
      </x:c>
      <x:c r="D220" s="21" t="n">
        <x:f>COUNTIF('Pagantes'!$B$2:$B$268,A220)</x:f>
        <x:v>0</x:v>
      </x:c>
      <x:c r="E220" s="21" t="n">
        <x:f>SUMIF('Pagantes'!$B$2:$B$268,A220,'Pagantes'!$D$2:$D$268)</x:f>
        <x:v>0</x:v>
      </x:c>
      <x:c r="F220" s="21" t="n">
        <x:f>SUMIFS('Pagantes'!$D$2:$D$268,'Pagantes'!$B$2:$B$268,A220,'Pagantes'!$E$2:$E$268,"&lt;&gt;Cancelado")</x:f>
        <x:v>0</x:v>
      </x:c>
      <x:c r="G220" s="21" t="n">
        <x:f>E220-F220</x:f>
        <x:v>0</x:v>
      </x:c>
      <x:c r="H220" s="21" t="n">
        <x:f>ROUND(F220-C220,2)</x:f>
        <x:v>-1325.43</x:v>
      </x:c>
      <x:c r="I220" s="21" t="n">
        <x:f>ROUND(E220-C220,2)</x:f>
        <x:v>-1325.43</x:v>
      </x:c>
      <x:c r="J220" s="17" t="str">
        <x:f>IF(B220=0,"SEM SERVIÇO NA GERAL",IF(D220=0,"SEM PAGANTE NO ARQUIVO",IF(H220=0,"BATE",IF(H220&lt;0,"PAGANTES A MENOS","PAGANTES A MAIS"))))</x:f>
        <x:v>SEM PAGANTE NO ARQUIVO</x:v>
      </x:c>
    </x:row>
    <x:row r="221" ht="15" hidden="0" customHeight="1">
      <x:c r="A221" s="17" t="str">
        <x:v>OP-1247</x:v>
      </x:c>
      <x:c r="B221" s="17" t="n">
        <x:f>COUNTIF('Serviços'!$B$2:$B$1264,A221)</x:f>
        <x:v>2</x:v>
      </x:c>
      <x:c r="C221" s="21" t="n">
        <x:f>SUMIF('Serviços'!$B$2:$B$1264,A221,'Serviços'!$I$2:$I$1264)</x:f>
        <x:v>859.1</x:v>
      </x:c>
      <x:c r="D221" s="21" t="n">
        <x:f>COUNTIF('Pagantes'!$B$2:$B$268,A221)</x:f>
        <x:v>1</x:v>
      </x:c>
      <x:c r="E221" s="21" t="n">
        <x:f>SUMIF('Pagantes'!$B$2:$B$268,A221,'Pagantes'!$D$2:$D$268)</x:f>
        <x:v>859.1</x:v>
      </x:c>
      <x:c r="F221" s="21" t="n">
        <x:f>SUMIFS('Pagantes'!$D$2:$D$268,'Pagantes'!$B$2:$B$268,A221,'Pagantes'!$E$2:$E$268,"&lt;&gt;Cancelado")</x:f>
        <x:v>859.1</x:v>
      </x:c>
      <x:c r="G221" s="21" t="n">
        <x:f>E221-F221</x:f>
        <x:v>0</x:v>
      </x:c>
      <x:c r="H221" s="21" t="n">
        <x:f>ROUND(F221-C221,2)</x:f>
        <x:v>0</x:v>
      </x:c>
      <x:c r="I221" s="21" t="n">
        <x:f>ROUND(E221-C221,2)</x:f>
        <x:v>0</x:v>
      </x:c>
      <x:c r="J221" s="17" t="str">
        <x:f>IF(B221=0,"SEM SERVIÇO NA GERAL",IF(D221=0,"SEM PAGANTE NO ARQUIVO",IF(H221=0,"BATE",IF(H221&lt;0,"PAGANTES A MENOS","PAGANTES A MAIS"))))</x:f>
        <x:v>BATE</x:v>
      </x:c>
    </x:row>
    <x:row r="222" ht="15" hidden="0" customHeight="1">
      <x:c r="A222" s="17" t="str">
        <x:v>OP-1248</x:v>
      </x:c>
      <x:c r="B222" s="17" t="n">
        <x:f>COUNTIF('Serviços'!$B$2:$B$1264,A222)</x:f>
        <x:v>2</x:v>
      </x:c>
      <x:c r="C222" s="21" t="n">
        <x:f>SUMIF('Serviços'!$B$2:$B$1264,A222,'Serviços'!$I$2:$I$1264)</x:f>
        <x:v>859.1</x:v>
      </x:c>
      <x:c r="D222" s="21" t="n">
        <x:f>COUNTIF('Pagantes'!$B$2:$B$268,A222)</x:f>
        <x:v>1</x:v>
      </x:c>
      <x:c r="E222" s="21" t="n">
        <x:f>SUMIF('Pagantes'!$B$2:$B$268,A222,'Pagantes'!$D$2:$D$268)</x:f>
        <x:v>859.1</x:v>
      </x:c>
      <x:c r="F222" s="21" t="n">
        <x:f>SUMIFS('Pagantes'!$D$2:$D$268,'Pagantes'!$B$2:$B$268,A222,'Pagantes'!$E$2:$E$268,"&lt;&gt;Cancelado")</x:f>
        <x:v>859.1</x:v>
      </x:c>
      <x:c r="G222" s="21" t="n">
        <x:f>E222-F222</x:f>
        <x:v>0</x:v>
      </x:c>
      <x:c r="H222" s="21" t="n">
        <x:f>ROUND(F222-C222,2)</x:f>
        <x:v>0</x:v>
      </x:c>
      <x:c r="I222" s="21" t="n">
        <x:f>ROUND(E222-C222,2)</x:f>
        <x:v>0</x:v>
      </x:c>
      <x:c r="J222" s="17" t="str">
        <x:f>IF(B222=0,"SEM SERVIÇO NA GERAL",IF(D222=0,"SEM PAGANTE NO ARQUIVO",IF(H222=0,"BATE",IF(H222&lt;0,"PAGANTES A MENOS","PAGANTES A MAIS"))))</x:f>
        <x:v>BATE</x:v>
      </x:c>
    </x:row>
    <x:row r="223" ht="15" hidden="0" customHeight="1">
      <x:c r="A223" s="17" t="str">
        <x:v>OP-1249</x:v>
      </x:c>
      <x:c r="B223" s="17" t="n">
        <x:f>COUNTIF('Serviços'!$B$2:$B$1264,A223)</x:f>
        <x:v>2</x:v>
      </x:c>
      <x:c r="C223" s="21" t="n">
        <x:f>SUMIF('Serviços'!$B$2:$B$1264,A223,'Serviços'!$I$2:$I$1264)</x:f>
        <x:v>859.1</x:v>
      </x:c>
      <x:c r="D223" s="21" t="n">
        <x:f>COUNTIF('Pagantes'!$B$2:$B$268,A223)</x:f>
        <x:v>1</x:v>
      </x:c>
      <x:c r="E223" s="21" t="n">
        <x:f>SUMIF('Pagantes'!$B$2:$B$268,A223,'Pagantes'!$D$2:$D$268)</x:f>
        <x:v>859.1</x:v>
      </x:c>
      <x:c r="F223" s="21" t="n">
        <x:f>SUMIFS('Pagantes'!$D$2:$D$268,'Pagantes'!$B$2:$B$268,A223,'Pagantes'!$E$2:$E$268,"&lt;&gt;Cancelado")</x:f>
        <x:v>859.1</x:v>
      </x:c>
      <x:c r="G223" s="21" t="n">
        <x:f>E223-F223</x:f>
        <x:v>0</x:v>
      </x:c>
      <x:c r="H223" s="21" t="n">
        <x:f>ROUND(F223-C223,2)</x:f>
        <x:v>0</x:v>
      </x:c>
      <x:c r="I223" s="21" t="n">
        <x:f>ROUND(E223-C223,2)</x:f>
        <x:v>0</x:v>
      </x:c>
      <x:c r="J223" s="17" t="str">
        <x:f>IF(B223=0,"SEM SERVIÇO NA GERAL",IF(D223=0,"SEM PAGANTE NO ARQUIVO",IF(H223=0,"BATE",IF(H223&lt;0,"PAGANTES A MENOS","PAGANTES A MAIS"))))</x:f>
        <x:v>BATE</x:v>
      </x:c>
    </x:row>
    <x:row r="224" ht="15" hidden="0" customHeight="1">
      <x:c r="A224" s="17" t="str">
        <x:v>OP-1250</x:v>
      </x:c>
      <x:c r="B224" s="17" t="n">
        <x:f>COUNTIF('Serviços'!$B$2:$B$1264,A224)</x:f>
        <x:v>2</x:v>
      </x:c>
      <x:c r="C224" s="21" t="n">
        <x:f>SUMIF('Serviços'!$B$2:$B$1264,A224,'Serviços'!$I$2:$I$1264)</x:f>
        <x:v>859.1</x:v>
      </x:c>
      <x:c r="D224" s="21" t="n">
        <x:f>COUNTIF('Pagantes'!$B$2:$B$268,A224)</x:f>
        <x:v>1</x:v>
      </x:c>
      <x:c r="E224" s="21" t="n">
        <x:f>SUMIF('Pagantes'!$B$2:$B$268,A224,'Pagantes'!$D$2:$D$268)</x:f>
        <x:v>859.1</x:v>
      </x:c>
      <x:c r="F224" s="21" t="n">
        <x:f>SUMIFS('Pagantes'!$D$2:$D$268,'Pagantes'!$B$2:$B$268,A224,'Pagantes'!$E$2:$E$268,"&lt;&gt;Cancelado")</x:f>
        <x:v>859.1</x:v>
      </x:c>
      <x:c r="G224" s="21" t="n">
        <x:f>E224-F224</x:f>
        <x:v>0</x:v>
      </x:c>
      <x:c r="H224" s="21" t="n">
        <x:f>ROUND(F224-C224,2)</x:f>
        <x:v>0</x:v>
      </x:c>
      <x:c r="I224" s="21" t="n">
        <x:f>ROUND(E224-C224,2)</x:f>
        <x:v>0</x:v>
      </x:c>
      <x:c r="J224" s="17" t="str">
        <x:f>IF(B224=0,"SEM SERVIÇO NA GERAL",IF(D224=0,"SEM PAGANTE NO ARQUIVO",IF(H224=0,"BATE",IF(H224&lt;0,"PAGANTES A MENOS","PAGANTES A MAIS"))))</x:f>
        <x:v>BATE</x:v>
      </x:c>
    </x:row>
    <x:row r="225" ht="15" hidden="0" customHeight="1">
      <x:c r="A225" s="17" t="str">
        <x:v>OP-1251</x:v>
      </x:c>
      <x:c r="B225" s="17" t="n">
        <x:f>COUNTIF('Serviços'!$B$2:$B$1264,A225)</x:f>
        <x:v>2</x:v>
      </x:c>
      <x:c r="C225" s="21" t="n">
        <x:f>SUMIF('Serviços'!$B$2:$B$1264,A225,'Serviços'!$I$2:$I$1264)</x:f>
        <x:v>1050.72</x:v>
      </x:c>
      <x:c r="D225" s="21" t="n">
        <x:f>COUNTIF('Pagantes'!$B$2:$B$268,A225)</x:f>
        <x:v>1</x:v>
      </x:c>
      <x:c r="E225" s="21" t="n">
        <x:f>SUMIF('Pagantes'!$B$2:$B$268,A225,'Pagantes'!$D$2:$D$268)</x:f>
        <x:v>1050.72</x:v>
      </x:c>
      <x:c r="F225" s="21" t="n">
        <x:f>SUMIFS('Pagantes'!$D$2:$D$268,'Pagantes'!$B$2:$B$268,A225,'Pagantes'!$E$2:$E$268,"&lt;&gt;Cancelado")</x:f>
        <x:v>1050.72</x:v>
      </x:c>
      <x:c r="G225" s="21" t="n">
        <x:f>E225-F225</x:f>
        <x:v>0</x:v>
      </x:c>
      <x:c r="H225" s="21" t="n">
        <x:f>ROUND(F225-C225,2)</x:f>
        <x:v>0</x:v>
      </x:c>
      <x:c r="I225" s="21" t="n">
        <x:f>ROUND(E225-C225,2)</x:f>
        <x:v>0</x:v>
      </x:c>
      <x:c r="J225" s="17" t="str">
        <x:f>IF(B225=0,"SEM SERVIÇO NA GERAL",IF(D225=0,"SEM PAGANTE NO ARQUIVO",IF(H225=0,"BATE",IF(H225&lt;0,"PAGANTES A MENOS","PAGANTES A MAIS"))))</x:f>
        <x:v>BATE</x:v>
      </x:c>
    </x:row>
    <x:row r="226" ht="15" hidden="0" customHeight="1">
      <x:c r="A226" s="17" t="str">
        <x:v>OP-1252</x:v>
      </x:c>
      <x:c r="B226" s="17" t="n">
        <x:f>COUNTIF('Serviços'!$B$2:$B$1264,A226)</x:f>
        <x:v>2</x:v>
      </x:c>
      <x:c r="C226" s="21" t="n">
        <x:f>SUMIF('Serviços'!$B$2:$B$1264,A226,'Serviços'!$I$2:$I$1264)</x:f>
        <x:v>2980</x:v>
      </x:c>
      <x:c r="D226" s="21" t="n">
        <x:f>COUNTIF('Pagantes'!$B$2:$B$268,A226)</x:f>
        <x:v>0</x:v>
      </x:c>
      <x:c r="E226" s="21" t="n">
        <x:f>SUMIF('Pagantes'!$B$2:$B$268,A226,'Pagantes'!$D$2:$D$268)</x:f>
        <x:v>0</x:v>
      </x:c>
      <x:c r="F226" s="21" t="n">
        <x:f>SUMIFS('Pagantes'!$D$2:$D$268,'Pagantes'!$B$2:$B$268,A226,'Pagantes'!$E$2:$E$268,"&lt;&gt;Cancelado")</x:f>
        <x:v>0</x:v>
      </x:c>
      <x:c r="G226" s="21" t="n">
        <x:f>E226-F226</x:f>
        <x:v>0</x:v>
      </x:c>
      <x:c r="H226" s="21" t="n">
        <x:f>ROUND(F226-C226,2)</x:f>
        <x:v>-2980</x:v>
      </x:c>
      <x:c r="I226" s="21" t="n">
        <x:f>ROUND(E226-C226,2)</x:f>
        <x:v>-2980</x:v>
      </x:c>
      <x:c r="J226" s="17" t="str">
        <x:f>IF(B226=0,"SEM SERVIÇO NA GERAL",IF(D226=0,"SEM PAGANTE NO ARQUIVO",IF(H226=0,"BATE",IF(H226&lt;0,"PAGANTES A MENOS","PAGANTES A MAIS"))))</x:f>
        <x:v>SEM PAGANTE NO ARQUIVO</x:v>
      </x:c>
    </x:row>
    <x:row r="227" ht="15" hidden="0" customHeight="1">
      <x:c r="A227" s="17" t="str">
        <x:v>OP-1253</x:v>
      </x:c>
      <x:c r="B227" s="17" t="n">
        <x:f>COUNTIF('Serviços'!$B$2:$B$1264,A227)</x:f>
        <x:v>1</x:v>
      </x:c>
      <x:c r="C227" s="21" t="n">
        <x:f>SUMIF('Serviços'!$B$2:$B$1264,A227,'Serviços'!$I$2:$I$1264)</x:f>
        <x:v>1490</x:v>
      </x:c>
      <x:c r="D227" s="21" t="n">
        <x:f>COUNTIF('Pagantes'!$B$2:$B$268,A227)</x:f>
        <x:v>0</x:v>
      </x:c>
      <x:c r="E227" s="21" t="n">
        <x:f>SUMIF('Pagantes'!$B$2:$B$268,A227,'Pagantes'!$D$2:$D$268)</x:f>
        <x:v>0</x:v>
      </x:c>
      <x:c r="F227" s="21" t="n">
        <x:f>SUMIFS('Pagantes'!$D$2:$D$268,'Pagantes'!$B$2:$B$268,A227,'Pagantes'!$E$2:$E$268,"&lt;&gt;Cancelado")</x:f>
        <x:v>0</x:v>
      </x:c>
      <x:c r="G227" s="21" t="n">
        <x:f>E227-F227</x:f>
        <x:v>0</x:v>
      </x:c>
      <x:c r="H227" s="21" t="n">
        <x:f>ROUND(F227-C227,2)</x:f>
        <x:v>-1490</x:v>
      </x:c>
      <x:c r="I227" s="21" t="n">
        <x:f>ROUND(E227-C227,2)</x:f>
        <x:v>-1490</x:v>
      </x:c>
      <x:c r="J227" s="17" t="str">
        <x:f>IF(B227=0,"SEM SERVIÇO NA GERAL",IF(D227=0,"SEM PAGANTE NO ARQUIVO",IF(H227=0,"BATE",IF(H227&lt;0,"PAGANTES A MENOS","PAGANTES A MAIS"))))</x:f>
        <x:v>SEM PAGANTE NO ARQUIVO</x:v>
      </x:c>
    </x:row>
    <x:row r="228" ht="15" hidden="0" customHeight="1">
      <x:c r="A228" s="17" t="str">
        <x:v>OP-1254</x:v>
      </x:c>
      <x:c r="B228" s="17" t="n">
        <x:f>COUNTIF('Serviços'!$B$2:$B$1264,A228)</x:f>
        <x:v>1</x:v>
      </x:c>
      <x:c r="C228" s="21" t="n">
        <x:f>SUMIF('Serviços'!$B$2:$B$1264,A228,'Serviços'!$I$2:$I$1264)</x:f>
        <x:v>396.05</x:v>
      </x:c>
      <x:c r="D228" s="21" t="n">
        <x:f>COUNTIF('Pagantes'!$B$2:$B$268,A228)</x:f>
        <x:v>1</x:v>
      </x:c>
      <x:c r="E228" s="21" t="n">
        <x:f>SUMIF('Pagantes'!$B$2:$B$268,A228,'Pagantes'!$D$2:$D$268)</x:f>
        <x:v>396.05</x:v>
      </x:c>
      <x:c r="F228" s="21" t="n">
        <x:f>SUMIFS('Pagantes'!$D$2:$D$268,'Pagantes'!$B$2:$B$268,A228,'Pagantes'!$E$2:$E$268,"&lt;&gt;Cancelado")</x:f>
        <x:v>396.05</x:v>
      </x:c>
      <x:c r="G228" s="21" t="n">
        <x:f>E228-F228</x:f>
        <x:v>0</x:v>
      </x:c>
      <x:c r="H228" s="21" t="n">
        <x:f>ROUND(F228-C228,2)</x:f>
        <x:v>0</x:v>
      </x:c>
      <x:c r="I228" s="21" t="n">
        <x:f>ROUND(E228-C228,2)</x:f>
        <x:v>0</x:v>
      </x:c>
      <x:c r="J228" s="17" t="str">
        <x:f>IF(B228=0,"SEM SERVIÇO NA GERAL",IF(D228=0,"SEM PAGANTE NO ARQUIVO",IF(H228=0,"BATE",IF(H228&lt;0,"PAGANTES A MENOS","PAGANTES A MAIS"))))</x:f>
        <x:v>BATE</x:v>
      </x:c>
    </x:row>
    <x:row r="229" ht="15" hidden="0" customHeight="1">
      <x:c r="A229" s="17" t="str">
        <x:v>OP-1255</x:v>
      </x:c>
      <x:c r="B229" s="17" t="n">
        <x:f>COUNTIF('Serviços'!$B$2:$B$1264,A229)</x:f>
        <x:v>2</x:v>
      </x:c>
      <x:c r="C229" s="21" t="n">
        <x:f>SUMIF('Serviços'!$B$2:$B$1264,A229,'Serviços'!$I$2:$I$1264)</x:f>
        <x:v>1637.26</x:v>
      </x:c>
      <x:c r="D229" s="21" t="n">
        <x:f>COUNTIF('Pagantes'!$B$2:$B$268,A229)</x:f>
        <x:v>0</x:v>
      </x:c>
      <x:c r="E229" s="21" t="n">
        <x:f>SUMIF('Pagantes'!$B$2:$B$268,A229,'Pagantes'!$D$2:$D$268)</x:f>
        <x:v>0</x:v>
      </x:c>
      <x:c r="F229" s="21" t="n">
        <x:f>SUMIFS('Pagantes'!$D$2:$D$268,'Pagantes'!$B$2:$B$268,A229,'Pagantes'!$E$2:$E$268,"&lt;&gt;Cancelado")</x:f>
        <x:v>0</x:v>
      </x:c>
      <x:c r="G229" s="21" t="n">
        <x:f>E229-F229</x:f>
        <x:v>0</x:v>
      </x:c>
      <x:c r="H229" s="21" t="n">
        <x:f>ROUND(F229-C229,2)</x:f>
        <x:v>-1637.26</x:v>
      </x:c>
      <x:c r="I229" s="21" t="n">
        <x:f>ROUND(E229-C229,2)</x:f>
        <x:v>-1637.26</x:v>
      </x:c>
      <x:c r="J229" s="17" t="str">
        <x:f>IF(B229=0,"SEM SERVIÇO NA GERAL",IF(D229=0,"SEM PAGANTE NO ARQUIVO",IF(H229=0,"BATE",IF(H229&lt;0,"PAGANTES A MENOS","PAGANTES A MAIS"))))</x:f>
        <x:v>SEM PAGANTE NO ARQUIVO</x:v>
      </x:c>
    </x:row>
    <x:row r="230" ht="15" hidden="0" customHeight="1">
      <x:c r="A230" s="17" t="str">
        <x:v>OP-1256</x:v>
      </x:c>
      <x:c r="B230" s="17" t="n">
        <x:f>COUNTIF('Serviços'!$B$2:$B$1264,A230)</x:f>
        <x:v>2</x:v>
      </x:c>
      <x:c r="C230" s="21" t="n">
        <x:f>SUMIF('Serviços'!$B$2:$B$1264,A230,'Serviços'!$I$2:$I$1264)</x:f>
        <x:v>1380</x:v>
      </x:c>
      <x:c r="D230" s="21" t="n">
        <x:f>COUNTIF('Pagantes'!$B$2:$B$268,A230)</x:f>
        <x:v>0</x:v>
      </x:c>
      <x:c r="E230" s="21" t="n">
        <x:f>SUMIF('Pagantes'!$B$2:$B$268,A230,'Pagantes'!$D$2:$D$268)</x:f>
        <x:v>0</x:v>
      </x:c>
      <x:c r="F230" s="21" t="n">
        <x:f>SUMIFS('Pagantes'!$D$2:$D$268,'Pagantes'!$B$2:$B$268,A230,'Pagantes'!$E$2:$E$268,"&lt;&gt;Cancelado")</x:f>
        <x:v>0</x:v>
      </x:c>
      <x:c r="G230" s="21" t="n">
        <x:f>E230-F230</x:f>
        <x:v>0</x:v>
      </x:c>
      <x:c r="H230" s="21" t="n">
        <x:f>ROUND(F230-C230,2)</x:f>
        <x:v>-1380</x:v>
      </x:c>
      <x:c r="I230" s="21" t="n">
        <x:f>ROUND(E230-C230,2)</x:f>
        <x:v>-1380</x:v>
      </x:c>
      <x:c r="J230" s="17" t="str">
        <x:f>IF(B230=0,"SEM SERVIÇO NA GERAL",IF(D230=0,"SEM PAGANTE NO ARQUIVO",IF(H230=0,"BATE",IF(H230&lt;0,"PAGANTES A MENOS","PAGANTES A MAIS"))))</x:f>
        <x:v>SEM PAGANTE NO ARQUIVO</x:v>
      </x:c>
    </x:row>
    <x:row r="231" ht="15" hidden="0" customHeight="1">
      <x:c r="A231" s="17" t="str">
        <x:v>OP-1257</x:v>
      </x:c>
      <x:c r="B231" s="17" t="n">
        <x:f>COUNTIF('Serviços'!$B$2:$B$1264,A231)</x:f>
        <x:v>4</x:v>
      </x:c>
      <x:c r="C231" s="21" t="n">
        <x:f>SUMIF('Serviços'!$B$2:$B$1264,A231,'Serviços'!$I$2:$I$1264)</x:f>
        <x:v>2083.4300000000003</x:v>
      </x:c>
      <x:c r="D231" s="21" t="n">
        <x:f>COUNTIF('Pagantes'!$B$2:$B$268,A231)</x:f>
        <x:v>1</x:v>
      </x:c>
      <x:c r="E231" s="21" t="n">
        <x:f>SUMIF('Pagantes'!$B$2:$B$268,A231,'Pagantes'!$D$2:$D$268)</x:f>
        <x:v>2083.43</x:v>
      </x:c>
      <x:c r="F231" s="21" t="n">
        <x:f>SUMIFS('Pagantes'!$D$2:$D$268,'Pagantes'!$B$2:$B$268,A231,'Pagantes'!$E$2:$E$268,"&lt;&gt;Cancelado")</x:f>
        <x:v>2083.43</x:v>
      </x:c>
      <x:c r="G231" s="21" t="n">
        <x:f>E231-F231</x:f>
        <x:v>0</x:v>
      </x:c>
      <x:c r="H231" s="21" t="n">
        <x:f>ROUND(F231-C231,2)</x:f>
        <x:v>0</x:v>
      </x:c>
      <x:c r="I231" s="21" t="n">
        <x:f>ROUND(E231-C231,2)</x:f>
        <x:v>0</x:v>
      </x:c>
      <x:c r="J231" s="17" t="str">
        <x:f>IF(B231=0,"SEM SERVIÇO NA GERAL",IF(D231=0,"SEM PAGANTE NO ARQUIVO",IF(H231=0,"BATE",IF(H231&lt;0,"PAGANTES A MENOS","PAGANTES A MAIS"))))</x:f>
        <x:v>BATE</x:v>
      </x:c>
    </x:row>
    <x:row r="232" ht="15" hidden="0" customHeight="1">
      <x:c r="A232" s="17" t="str">
        <x:v>OP-1258</x:v>
      </x:c>
      <x:c r="B232" s="17" t="n">
        <x:f>COUNTIF('Serviços'!$B$2:$B$1264,A232)</x:f>
        <x:v>2</x:v>
      </x:c>
      <x:c r="C232" s="21" t="n">
        <x:f>SUMIF('Serviços'!$B$2:$B$1264,A232,'Serviços'!$I$2:$I$1264)</x:f>
        <x:v>3300</x:v>
      </x:c>
      <x:c r="D232" s="21" t="n">
        <x:f>COUNTIF('Pagantes'!$B$2:$B$268,A232)</x:f>
        <x:v>0</x:v>
      </x:c>
      <x:c r="E232" s="21" t="n">
        <x:f>SUMIF('Pagantes'!$B$2:$B$268,A232,'Pagantes'!$D$2:$D$268)</x:f>
        <x:v>0</x:v>
      </x:c>
      <x:c r="F232" s="21" t="n">
        <x:f>SUMIFS('Pagantes'!$D$2:$D$268,'Pagantes'!$B$2:$B$268,A232,'Pagantes'!$E$2:$E$268,"&lt;&gt;Cancelado")</x:f>
        <x:v>0</x:v>
      </x:c>
      <x:c r="G232" s="21" t="n">
        <x:f>E232-F232</x:f>
        <x:v>0</x:v>
      </x:c>
      <x:c r="H232" s="21" t="n">
        <x:f>ROUND(F232-C232,2)</x:f>
        <x:v>-3300</x:v>
      </x:c>
      <x:c r="I232" s="21" t="n">
        <x:f>ROUND(E232-C232,2)</x:f>
        <x:v>-3300</x:v>
      </x:c>
      <x:c r="J232" s="17" t="str">
        <x:f>IF(B232=0,"SEM SERVIÇO NA GERAL",IF(D232=0,"SEM PAGANTE NO ARQUIVO",IF(H232=0,"BATE",IF(H232&lt;0,"PAGANTES A MENOS","PAGANTES A MAIS"))))</x:f>
        <x:v>SEM PAGANTE NO ARQUIVO</x:v>
      </x:c>
    </x:row>
    <x:row r="233" ht="15" hidden="0" customHeight="1">
      <x:c r="A233" s="17" t="str">
        <x:v>OP-1259</x:v>
      </x:c>
      <x:c r="B233" s="17" t="n">
        <x:f>COUNTIF('Serviços'!$B$2:$B$1264,A233)</x:f>
        <x:v>2</x:v>
      </x:c>
      <x:c r="C233" s="21" t="n">
        <x:f>SUMIF('Serviços'!$B$2:$B$1264,A233,'Serviços'!$I$2:$I$1264)</x:f>
        <x:v>859.1</x:v>
      </x:c>
      <x:c r="D233" s="21" t="n">
        <x:f>COUNTIF('Pagantes'!$B$2:$B$268,A233)</x:f>
        <x:v>1</x:v>
      </x:c>
      <x:c r="E233" s="21" t="n">
        <x:f>SUMIF('Pagantes'!$B$2:$B$268,A233,'Pagantes'!$D$2:$D$268)</x:f>
        <x:v>859.1</x:v>
      </x:c>
      <x:c r="F233" s="21" t="n">
        <x:f>SUMIFS('Pagantes'!$D$2:$D$268,'Pagantes'!$B$2:$B$268,A233,'Pagantes'!$E$2:$E$268,"&lt;&gt;Cancelado")</x:f>
        <x:v>859.1</x:v>
      </x:c>
      <x:c r="G233" s="21" t="n">
        <x:f>E233-F233</x:f>
        <x:v>0</x:v>
      </x:c>
      <x:c r="H233" s="21" t="n">
        <x:f>ROUND(F233-C233,2)</x:f>
        <x:v>0</x:v>
      </x:c>
      <x:c r="I233" s="21" t="n">
        <x:f>ROUND(E233-C233,2)</x:f>
        <x:v>0</x:v>
      </x:c>
      <x:c r="J233" s="17" t="str">
        <x:f>IF(B233=0,"SEM SERVIÇO NA GERAL",IF(D233=0,"SEM PAGANTE NO ARQUIVO",IF(H233=0,"BATE",IF(H233&lt;0,"PAGANTES A MENOS","PAGANTES A MAIS"))))</x:f>
        <x:v>BATE</x:v>
      </x:c>
    </x:row>
    <x:row r="234" ht="15" hidden="0" customHeight="1">
      <x:c r="A234" s="17" t="str">
        <x:v>OP-1260</x:v>
      </x:c>
      <x:c r="B234" s="17" t="n">
        <x:f>COUNTIF('Serviços'!$B$2:$B$1264,A234)</x:f>
        <x:v>27</x:v>
      </x:c>
      <x:c r="C234" s="21" t="n">
        <x:f>SUMIF('Serviços'!$B$2:$B$1264,A234,'Serviços'!$I$2:$I$1264)</x:f>
        <x:v>3445</x:v>
      </x:c>
      <x:c r="D234" s="21" t="n">
        <x:f>COUNTIF('Pagantes'!$B$2:$B$268,A234)</x:f>
        <x:v>0</x:v>
      </x:c>
      <x:c r="E234" s="21" t="n">
        <x:f>SUMIF('Pagantes'!$B$2:$B$268,A234,'Pagantes'!$D$2:$D$268)</x:f>
        <x:v>0</x:v>
      </x:c>
      <x:c r="F234" s="21" t="n">
        <x:f>SUMIFS('Pagantes'!$D$2:$D$268,'Pagantes'!$B$2:$B$268,A234,'Pagantes'!$E$2:$E$268,"&lt;&gt;Cancelado")</x:f>
        <x:v>0</x:v>
      </x:c>
      <x:c r="G234" s="21" t="n">
        <x:f>E234-F234</x:f>
        <x:v>0</x:v>
      </x:c>
      <x:c r="H234" s="21" t="n">
        <x:f>ROUND(F234-C234,2)</x:f>
        <x:v>-3445</x:v>
      </x:c>
      <x:c r="I234" s="21" t="n">
        <x:f>ROUND(E234-C234,2)</x:f>
        <x:v>-3445</x:v>
      </x:c>
      <x:c r="J234" s="17" t="str">
        <x:f>IF(B234=0,"SEM SERVIÇO NA GERAL",IF(D234=0,"SEM PAGANTE NO ARQUIVO",IF(H234=0,"BATE",IF(H234&lt;0,"PAGANTES A MENOS","PAGANTES A MAIS"))))</x:f>
        <x:v>SEM PAGANTE NO ARQUIVO</x:v>
      </x:c>
    </x:row>
    <x:row r="235" ht="15" hidden="0" customHeight="1">
      <x:c r="A235" s="17" t="str">
        <x:v>OP-1262</x:v>
      </x:c>
      <x:c r="B235" s="17" t="n">
        <x:f>COUNTIF('Serviços'!$B$2:$B$1264,A235)</x:f>
        <x:v>1</x:v>
      </x:c>
      <x:c r="C235" s="21" t="n">
        <x:f>SUMIF('Serviços'!$B$2:$B$1264,A235,'Serviços'!$I$2:$I$1264)</x:f>
        <x:v>2651.03</x:v>
      </x:c>
      <x:c r="D235" s="21" t="n">
        <x:f>COUNTIF('Pagantes'!$B$2:$B$268,A235)</x:f>
        <x:v>1</x:v>
      </x:c>
      <x:c r="E235" s="21" t="n">
        <x:f>SUMIF('Pagantes'!$B$2:$B$268,A235,'Pagantes'!$D$2:$D$268)</x:f>
        <x:v>2651.03</x:v>
      </x:c>
      <x:c r="F235" s="21" t="n">
        <x:f>SUMIFS('Pagantes'!$D$2:$D$268,'Pagantes'!$B$2:$B$268,A235,'Pagantes'!$E$2:$E$268,"&lt;&gt;Cancelado")</x:f>
        <x:v>2651.03</x:v>
      </x:c>
      <x:c r="G235" s="21" t="n">
        <x:f>E235-F235</x:f>
        <x:v>0</x:v>
      </x:c>
      <x:c r="H235" s="21" t="n">
        <x:f>ROUND(F235-C235,2)</x:f>
        <x:v>0</x:v>
      </x:c>
      <x:c r="I235" s="21" t="n">
        <x:f>ROUND(E235-C235,2)</x:f>
        <x:v>0</x:v>
      </x:c>
      <x:c r="J235" s="17" t="str">
        <x:f>IF(B235=0,"SEM SERVIÇO NA GERAL",IF(D235=0,"SEM PAGANTE NO ARQUIVO",IF(H235=0,"BATE",IF(H235&lt;0,"PAGANTES A MENOS","PAGANTES A MAIS"))))</x:f>
        <x:v>BATE</x:v>
      </x:c>
    </x:row>
    <x:row r="236" ht="15" hidden="0" customHeight="1">
      <x:c r="A236" s="17" t="str">
        <x:v>OP-1263</x:v>
      </x:c>
      <x:c r="B236" s="17" t="n">
        <x:f>COUNTIF('Serviços'!$B$2:$B$1264,A236)</x:f>
        <x:v>1</x:v>
      </x:c>
      <x:c r="C236" s="21" t="n">
        <x:f>SUMIF('Serviços'!$B$2:$B$1264,A236,'Serviços'!$I$2:$I$1264)</x:f>
        <x:v>790</x:v>
      </x:c>
      <x:c r="D236" s="21" t="n">
        <x:f>COUNTIF('Pagantes'!$B$2:$B$268,A236)</x:f>
        <x:v>1</x:v>
      </x:c>
      <x:c r="E236" s="21" t="n">
        <x:f>SUMIF('Pagantes'!$B$2:$B$268,A236,'Pagantes'!$D$2:$D$268)</x:f>
        <x:v>790</x:v>
      </x:c>
      <x:c r="F236" s="21" t="n">
        <x:f>SUMIFS('Pagantes'!$D$2:$D$268,'Pagantes'!$B$2:$B$268,A236,'Pagantes'!$E$2:$E$268,"&lt;&gt;Cancelado")</x:f>
        <x:v>790</x:v>
      </x:c>
      <x:c r="G236" s="21" t="n">
        <x:f>E236-F236</x:f>
        <x:v>0</x:v>
      </x:c>
      <x:c r="H236" s="21" t="n">
        <x:f>ROUND(F236-C236,2)</x:f>
        <x:v>0</x:v>
      </x:c>
      <x:c r="I236" s="21" t="n">
        <x:f>ROUND(E236-C236,2)</x:f>
        <x:v>0</x:v>
      </x:c>
      <x:c r="J236" s="17" t="str">
        <x:f>IF(B236=0,"SEM SERVIÇO NA GERAL",IF(D236=0,"SEM PAGANTE NO ARQUIVO",IF(H236=0,"BATE",IF(H236&lt;0,"PAGANTES A MENOS","PAGANTES A MAIS"))))</x:f>
        <x:v>BATE</x:v>
      </x:c>
    </x:row>
    <x:row r="237" ht="15" hidden="0" customHeight="1">
      <x:c r="A237" s="17" t="str">
        <x:v>OP-1264</x:v>
      </x:c>
      <x:c r="B237" s="17" t="n">
        <x:f>COUNTIF('Serviços'!$B$2:$B$1264,A237)</x:f>
        <x:v>2</x:v>
      </x:c>
      <x:c r="C237" s="21" t="n">
        <x:f>SUMIF('Serviços'!$B$2:$B$1264,A237,'Serviços'!$I$2:$I$1264)</x:f>
        <x:v>3978.36</x:v>
      </x:c>
      <x:c r="D237" s="21" t="n">
        <x:f>COUNTIF('Pagantes'!$B$2:$B$268,A237)</x:f>
        <x:v>1</x:v>
      </x:c>
      <x:c r="E237" s="21" t="n">
        <x:f>SUMIF('Pagantes'!$B$2:$B$268,A237,'Pagantes'!$D$2:$D$268)</x:f>
        <x:v>3978.36</x:v>
      </x:c>
      <x:c r="F237" s="21" t="n">
        <x:f>SUMIFS('Pagantes'!$D$2:$D$268,'Pagantes'!$B$2:$B$268,A237,'Pagantes'!$E$2:$E$268,"&lt;&gt;Cancelado")</x:f>
        <x:v>3978.36</x:v>
      </x:c>
      <x:c r="G237" s="21" t="n">
        <x:f>E237-F237</x:f>
        <x:v>0</x:v>
      </x:c>
      <x:c r="H237" s="21" t="n">
        <x:f>ROUND(F237-C237,2)</x:f>
        <x:v>0</x:v>
      </x:c>
      <x:c r="I237" s="21" t="n">
        <x:f>ROUND(E237-C237,2)</x:f>
        <x:v>0</x:v>
      </x:c>
      <x:c r="J237" s="17" t="str">
        <x:f>IF(B237=0,"SEM SERVIÇO NA GERAL",IF(D237=0,"SEM PAGANTE NO ARQUIVO",IF(H237=0,"BATE",IF(H237&lt;0,"PAGANTES A MENOS","PAGANTES A MAIS"))))</x:f>
        <x:v>BATE</x:v>
      </x:c>
    </x:row>
    <x:row r="238" ht="15" hidden="0" customHeight="1">
      <x:c r="A238" s="17" t="str">
        <x:v>OP-1265</x:v>
      </x:c>
      <x:c r="B238" s="17" t="n">
        <x:f>COUNTIF('Serviços'!$B$2:$B$1264,A238)</x:f>
        <x:v>4</x:v>
      </x:c>
      <x:c r="C238" s="21" t="n">
        <x:f>SUMIF('Serviços'!$B$2:$B$1264,A238,'Serviços'!$I$2:$I$1264)</x:f>
        <x:v>2729.69</x:v>
      </x:c>
      <x:c r="D238" s="21" t="n">
        <x:f>COUNTIF('Pagantes'!$B$2:$B$268,A238)</x:f>
        <x:v>1</x:v>
      </x:c>
      <x:c r="E238" s="21" t="n">
        <x:f>SUMIF('Pagantes'!$B$2:$B$268,A238,'Pagantes'!$D$2:$D$268)</x:f>
        <x:v>2729.69</x:v>
      </x:c>
      <x:c r="F238" s="21" t="n">
        <x:f>SUMIFS('Pagantes'!$D$2:$D$268,'Pagantes'!$B$2:$B$268,A238,'Pagantes'!$E$2:$E$268,"&lt;&gt;Cancelado")</x:f>
        <x:v>2729.69</x:v>
      </x:c>
      <x:c r="G238" s="21" t="n">
        <x:f>E238-F238</x:f>
        <x:v>0</x:v>
      </x:c>
      <x:c r="H238" s="21" t="n">
        <x:f>ROUND(F238-C238,2)</x:f>
        <x:v>0</x:v>
      </x:c>
      <x:c r="I238" s="21" t="n">
        <x:f>ROUND(E238-C238,2)</x:f>
        <x:v>0</x:v>
      </x:c>
      <x:c r="J238" s="17" t="str">
        <x:f>IF(B238=0,"SEM SERVIÇO NA GERAL",IF(D238=0,"SEM PAGANTE NO ARQUIVO",IF(H238=0,"BATE",IF(H238&lt;0,"PAGANTES A MENOS","PAGANTES A MAIS"))))</x:f>
        <x:v>BATE</x:v>
      </x:c>
    </x:row>
    <x:row r="239" ht="15" hidden="0" customHeight="1">
      <x:c r="A239" s="17" t="str">
        <x:v>OP-1266</x:v>
      </x:c>
      <x:c r="B239" s="17" t="n">
        <x:f>COUNTIF('Serviços'!$B$2:$B$1264,A239)</x:f>
        <x:v>5</x:v>
      </x:c>
      <x:c r="C239" s="21" t="n">
        <x:f>SUMIF('Serviços'!$B$2:$B$1264,A239,'Serviços'!$I$2:$I$1264)</x:f>
        <x:v>8110.93</x:v>
      </x:c>
      <x:c r="D239" s="21" t="n">
        <x:f>COUNTIF('Pagantes'!$B$2:$B$268,A239)</x:f>
        <x:v>0</x:v>
      </x:c>
      <x:c r="E239" s="21" t="n">
        <x:f>SUMIF('Pagantes'!$B$2:$B$268,A239,'Pagantes'!$D$2:$D$268)</x:f>
        <x:v>0</x:v>
      </x:c>
      <x:c r="F239" s="21" t="n">
        <x:f>SUMIFS('Pagantes'!$D$2:$D$268,'Pagantes'!$B$2:$B$268,A239,'Pagantes'!$E$2:$E$268,"&lt;&gt;Cancelado")</x:f>
        <x:v>0</x:v>
      </x:c>
      <x:c r="G239" s="21" t="n">
        <x:f>E239-F239</x:f>
        <x:v>0</x:v>
      </x:c>
      <x:c r="H239" s="21" t="n">
        <x:f>ROUND(F239-C239,2)</x:f>
        <x:v>-8110.93</x:v>
      </x:c>
      <x:c r="I239" s="21" t="n">
        <x:f>ROUND(E239-C239,2)</x:f>
        <x:v>-8110.93</x:v>
      </x:c>
      <x:c r="J239" s="17" t="str">
        <x:f>IF(B239=0,"SEM SERVIÇO NA GERAL",IF(D239=0,"SEM PAGANTE NO ARQUIVO",IF(H239=0,"BATE",IF(H239&lt;0,"PAGANTES A MENOS","PAGANTES A MAIS"))))</x:f>
        <x:v>SEM PAGANTE NO ARQUIVO</x:v>
      </x:c>
    </x:row>
    <x:row r="240" ht="15" hidden="0" customHeight="1">
      <x:c r="A240" s="17" t="str">
        <x:v>OP-1267</x:v>
      </x:c>
      <x:c r="B240" s="17" t="n">
        <x:f>COUNTIF('Serviços'!$B$2:$B$1264,A240)</x:f>
        <x:v>12</x:v>
      </x:c>
      <x:c r="C240" s="21" t="n">
        <x:f>SUMIF('Serviços'!$B$2:$B$1264,A240,'Serviços'!$I$2:$I$1264)</x:f>
        <x:v>4136.0599999999995</x:v>
      </x:c>
      <x:c r="D240" s="21" t="n">
        <x:f>COUNTIF('Pagantes'!$B$2:$B$268,A240)</x:f>
        <x:v>2</x:v>
      </x:c>
      <x:c r="E240" s="21" t="n">
        <x:f>SUMIF('Pagantes'!$B$2:$B$268,A240,'Pagantes'!$D$2:$D$268)</x:f>
        <x:v>2891.8900000000003</x:v>
      </x:c>
      <x:c r="F240" s="21" t="n">
        <x:f>SUMIFS('Pagantes'!$D$2:$D$268,'Pagantes'!$B$2:$B$268,A240,'Pagantes'!$E$2:$E$268,"&lt;&gt;Cancelado")</x:f>
        <x:v>2891.8900000000003</x:v>
      </x:c>
      <x:c r="G240" s="21" t="n">
        <x:f>E240-F240</x:f>
        <x:v>0</x:v>
      </x:c>
      <x:c r="H240" s="21" t="n">
        <x:f>ROUND(F240-C240,2)</x:f>
        <x:v>-1244.17</x:v>
      </x:c>
      <x:c r="I240" s="21" t="n">
        <x:f>ROUND(E240-C240,2)</x:f>
        <x:v>-1244.17</x:v>
      </x:c>
      <x:c r="J240" s="17" t="str">
        <x:f>IF(B240=0,"SEM SERVIÇO NA GERAL",IF(D240=0,"SEM PAGANTE NO ARQUIVO",IF(H240=0,"BATE",IF(H240&lt;0,"PAGANTES A MENOS","PAGANTES A MAIS"))))</x:f>
        <x:v>PAGANTES A MENOS</x:v>
      </x:c>
    </x:row>
    <x:row r="241" ht="15" hidden="0" customHeight="1">
      <x:c r="A241" s="17" t="str">
        <x:v>OP-1268</x:v>
      </x:c>
      <x:c r="B241" s="17" t="n">
        <x:f>COUNTIF('Serviços'!$B$2:$B$1264,A241)</x:f>
        <x:v>8</x:v>
      </x:c>
      <x:c r="C241" s="21" t="n">
        <x:f>SUMIF('Serviços'!$B$2:$B$1264,A241,'Serviços'!$I$2:$I$1264)</x:f>
        <x:v>2441.11</x:v>
      </x:c>
      <x:c r="D241" s="21" t="n">
        <x:f>COUNTIF('Pagantes'!$B$2:$B$268,A241)</x:f>
        <x:v>1</x:v>
      </x:c>
      <x:c r="E241" s="21" t="n">
        <x:f>SUMIF('Pagantes'!$B$2:$B$268,A241,'Pagantes'!$D$2:$D$268)</x:f>
        <x:v>2441.11</x:v>
      </x:c>
      <x:c r="F241" s="21" t="n">
        <x:f>SUMIFS('Pagantes'!$D$2:$D$268,'Pagantes'!$B$2:$B$268,A241,'Pagantes'!$E$2:$E$268,"&lt;&gt;Cancelado")</x:f>
        <x:v>2441.11</x:v>
      </x:c>
      <x:c r="G241" s="21" t="n">
        <x:f>E241-F241</x:f>
        <x:v>0</x:v>
      </x:c>
      <x:c r="H241" s="21" t="n">
        <x:f>ROUND(F241-C241,2)</x:f>
        <x:v>0</x:v>
      </x:c>
      <x:c r="I241" s="21" t="n">
        <x:f>ROUND(E241-C241,2)</x:f>
        <x:v>0</x:v>
      </x:c>
      <x:c r="J241" s="17" t="str">
        <x:f>IF(B241=0,"SEM SERVIÇO NA GERAL",IF(D241=0,"SEM PAGANTE NO ARQUIVO",IF(H241=0,"BATE",IF(H241&lt;0,"PAGANTES A MENOS","PAGANTES A MAIS"))))</x:f>
        <x:v>BATE</x:v>
      </x:c>
    </x:row>
    <x:row r="242" ht="15" hidden="0" customHeight="1">
      <x:c r="A242" s="17" t="str">
        <x:v>OP-1269</x:v>
      </x:c>
      <x:c r="B242" s="17" t="n">
        <x:f>COUNTIF('Serviços'!$B$2:$B$1264,A242)</x:f>
        <x:v>2</x:v>
      </x:c>
      <x:c r="C242" s="21" t="n">
        <x:f>SUMIF('Serviços'!$B$2:$B$1264,A242,'Serviços'!$I$2:$I$1264)</x:f>
        <x:v>1050.72</x:v>
      </x:c>
      <x:c r="D242" s="21" t="n">
        <x:f>COUNTIF('Pagantes'!$B$2:$B$268,A242)</x:f>
        <x:v>1</x:v>
      </x:c>
      <x:c r="E242" s="21" t="n">
        <x:f>SUMIF('Pagantes'!$B$2:$B$268,A242,'Pagantes'!$D$2:$D$268)</x:f>
        <x:v>1050.72</x:v>
      </x:c>
      <x:c r="F242" s="21" t="n">
        <x:f>SUMIFS('Pagantes'!$D$2:$D$268,'Pagantes'!$B$2:$B$268,A242,'Pagantes'!$E$2:$E$268,"&lt;&gt;Cancelado")</x:f>
        <x:v>1050.72</x:v>
      </x:c>
      <x:c r="G242" s="21" t="n">
        <x:f>E242-F242</x:f>
        <x:v>0</x:v>
      </x:c>
      <x:c r="H242" s="21" t="n">
        <x:f>ROUND(F242-C242,2)</x:f>
        <x:v>0</x:v>
      </x:c>
      <x:c r="I242" s="21" t="n">
        <x:f>ROUND(E242-C242,2)</x:f>
        <x:v>0</x:v>
      </x:c>
      <x:c r="J242" s="17" t="str">
        <x:f>IF(B242=0,"SEM SERVIÇO NA GERAL",IF(D242=0,"SEM PAGANTE NO ARQUIVO",IF(H242=0,"BATE",IF(H242&lt;0,"PAGANTES A MENOS","PAGANTES A MAIS"))))</x:f>
        <x:v>BATE</x:v>
      </x:c>
    </x:row>
    <x:row r="243" ht="15" hidden="0" customHeight="1">
      <x:c r="A243" s="17" t="str">
        <x:v>OP-1270</x:v>
      </x:c>
      <x:c r="B243" s="17" t="n">
        <x:f>COUNTIF('Serviços'!$B$2:$B$1264,A243)</x:f>
        <x:v>1</x:v>
      </x:c>
      <x:c r="C243" s="21" t="n">
        <x:f>SUMIF('Serviços'!$B$2:$B$1264,A243,'Serviços'!$I$2:$I$1264)</x:f>
        <x:v>1158.2</x:v>
      </x:c>
      <x:c r="D243" s="21" t="n">
        <x:f>COUNTIF('Pagantes'!$B$2:$B$268,A243)</x:f>
        <x:v>0</x:v>
      </x:c>
      <x:c r="E243" s="21" t="n">
        <x:f>SUMIF('Pagantes'!$B$2:$B$268,A243,'Pagantes'!$D$2:$D$268)</x:f>
        <x:v>0</x:v>
      </x:c>
      <x:c r="F243" s="21" t="n">
        <x:f>SUMIFS('Pagantes'!$D$2:$D$268,'Pagantes'!$B$2:$B$268,A243,'Pagantes'!$E$2:$E$268,"&lt;&gt;Cancelado")</x:f>
        <x:v>0</x:v>
      </x:c>
      <x:c r="G243" s="21" t="n">
        <x:f>E243-F243</x:f>
        <x:v>0</x:v>
      </x:c>
      <x:c r="H243" s="21" t="n">
        <x:f>ROUND(F243-C243,2)</x:f>
        <x:v>-1158.2</x:v>
      </x:c>
      <x:c r="I243" s="21" t="n">
        <x:f>ROUND(E243-C243,2)</x:f>
        <x:v>-1158.2</x:v>
      </x:c>
      <x:c r="J243" s="17" t="str">
        <x:f>IF(B243=0,"SEM SERVIÇO NA GERAL",IF(D243=0,"SEM PAGANTE NO ARQUIVO",IF(H243=0,"BATE",IF(H243&lt;0,"PAGANTES A MENOS","PAGANTES A MAIS"))))</x:f>
        <x:v>SEM PAGANTE NO ARQUIVO</x:v>
      </x:c>
    </x:row>
    <x:row r="244" ht="15" hidden="0" customHeight="1">
      <x:c r="A244" s="17" t="str">
        <x:v>OP-1271</x:v>
      </x:c>
      <x:c r="B244" s="17" t="n">
        <x:f>COUNTIF('Serviços'!$B$2:$B$1264,A244)</x:f>
        <x:v>2</x:v>
      </x:c>
      <x:c r="C244" s="21" t="n">
        <x:f>SUMIF('Serviços'!$B$2:$B$1264,A244,'Serviços'!$I$2:$I$1264)</x:f>
        <x:v>952.96</x:v>
      </x:c>
      <x:c r="D244" s="21" t="n">
        <x:f>COUNTIF('Pagantes'!$B$2:$B$268,A244)</x:f>
        <x:v>1</x:v>
      </x:c>
      <x:c r="E244" s="21" t="n">
        <x:f>SUMIF('Pagantes'!$B$2:$B$268,A244,'Pagantes'!$D$2:$D$268)</x:f>
        <x:v>952.96</x:v>
      </x:c>
      <x:c r="F244" s="21" t="n">
        <x:f>SUMIFS('Pagantes'!$D$2:$D$268,'Pagantes'!$B$2:$B$268,A244,'Pagantes'!$E$2:$E$268,"&lt;&gt;Cancelado")</x:f>
        <x:v>952.96</x:v>
      </x:c>
      <x:c r="G244" s="21" t="n">
        <x:f>E244-F244</x:f>
        <x:v>0</x:v>
      </x:c>
      <x:c r="H244" s="21" t="n">
        <x:f>ROUND(F244-C244,2)</x:f>
        <x:v>0</x:v>
      </x:c>
      <x:c r="I244" s="21" t="n">
        <x:f>ROUND(E244-C244,2)</x:f>
        <x:v>0</x:v>
      </x:c>
      <x:c r="J244" s="17" t="str">
        <x:f>IF(B244=0,"SEM SERVIÇO NA GERAL",IF(D244=0,"SEM PAGANTE NO ARQUIVO",IF(H244=0,"BATE",IF(H244&lt;0,"PAGANTES A MENOS","PAGANTES A MAIS"))))</x:f>
        <x:v>BATE</x:v>
      </x:c>
    </x:row>
    <x:row r="245" ht="15" hidden="0" customHeight="1">
      <x:c r="A245" s="17" t="str">
        <x:v>OP-1272</x:v>
      </x:c>
      <x:c r="B245" s="17" t="n">
        <x:f>COUNTIF('Serviços'!$B$2:$B$1264,A245)</x:f>
        <x:v>27</x:v>
      </x:c>
      <x:c r="C245" s="21" t="n">
        <x:f>SUMIF('Serviços'!$B$2:$B$1264,A245,'Serviços'!$I$2:$I$1264)</x:f>
        <x:v>22158.62</x:v>
      </x:c>
      <x:c r="D245" s="21" t="n">
        <x:f>COUNTIF('Pagantes'!$B$2:$B$268,A245)</x:f>
        <x:v>0</x:v>
      </x:c>
      <x:c r="E245" s="21" t="n">
        <x:f>SUMIF('Pagantes'!$B$2:$B$268,A245,'Pagantes'!$D$2:$D$268)</x:f>
        <x:v>0</x:v>
      </x:c>
      <x:c r="F245" s="21" t="n">
        <x:f>SUMIFS('Pagantes'!$D$2:$D$268,'Pagantes'!$B$2:$B$268,A245,'Pagantes'!$E$2:$E$268,"&lt;&gt;Cancelado")</x:f>
        <x:v>0</x:v>
      </x:c>
      <x:c r="G245" s="21" t="n">
        <x:f>E245-F245</x:f>
        <x:v>0</x:v>
      </x:c>
      <x:c r="H245" s="21" t="n">
        <x:f>ROUND(F245-C245,2)</x:f>
        <x:v>-22158.62</x:v>
      </x:c>
      <x:c r="I245" s="21" t="n">
        <x:f>ROUND(E245-C245,2)</x:f>
        <x:v>-22158.62</x:v>
      </x:c>
      <x:c r="J245" s="17" t="str">
        <x:f>IF(B245=0,"SEM SERVIÇO NA GERAL",IF(D245=0,"SEM PAGANTE NO ARQUIVO",IF(H245=0,"BATE",IF(H245&lt;0,"PAGANTES A MENOS","PAGANTES A MAIS"))))</x:f>
        <x:v>SEM PAGANTE NO ARQUIVO</x:v>
      </x:c>
    </x:row>
    <x:row r="246" ht="15" hidden="0" customHeight="1">
      <x:c r="A246" s="17" t="str">
        <x:v>OP-1273</x:v>
      </x:c>
      <x:c r="B246" s="17" t="n">
        <x:f>COUNTIF('Serviços'!$B$2:$B$1264,A246)</x:f>
        <x:v>1</x:v>
      </x:c>
      <x:c r="C246" s="21" t="n">
        <x:f>SUMIF('Serviços'!$B$2:$B$1264,A246,'Serviços'!$I$2:$I$1264)</x:f>
        <x:v>962.65</x:v>
      </x:c>
      <x:c r="D246" s="21" t="n">
        <x:f>COUNTIF('Pagantes'!$B$2:$B$268,A246)</x:f>
        <x:v>1</x:v>
      </x:c>
      <x:c r="E246" s="21" t="n">
        <x:f>SUMIF('Pagantes'!$B$2:$B$268,A246,'Pagantes'!$D$2:$D$268)</x:f>
        <x:v>962.65</x:v>
      </x:c>
      <x:c r="F246" s="21" t="n">
        <x:f>SUMIFS('Pagantes'!$D$2:$D$268,'Pagantes'!$B$2:$B$268,A246,'Pagantes'!$E$2:$E$268,"&lt;&gt;Cancelado")</x:f>
        <x:v>962.65</x:v>
      </x:c>
      <x:c r="G246" s="21" t="n">
        <x:f>E246-F246</x:f>
        <x:v>0</x:v>
      </x:c>
      <x:c r="H246" s="21" t="n">
        <x:f>ROUND(F246-C246,2)</x:f>
        <x:v>0</x:v>
      </x:c>
      <x:c r="I246" s="21" t="n">
        <x:f>ROUND(E246-C246,2)</x:f>
        <x:v>0</x:v>
      </x:c>
      <x:c r="J246" s="17" t="str">
        <x:f>IF(B246=0,"SEM SERVIÇO NA GERAL",IF(D246=0,"SEM PAGANTE NO ARQUIVO",IF(H246=0,"BATE",IF(H246&lt;0,"PAGANTES A MENOS","PAGANTES A MAIS"))))</x:f>
        <x:v>BATE</x:v>
      </x:c>
    </x:row>
    <x:row r="247" ht="15" hidden="0" customHeight="1">
      <x:c r="A247" s="17" t="str">
        <x:v>OP-1274</x:v>
      </x:c>
      <x:c r="B247" s="17" t="n">
        <x:f>COUNTIF('Serviços'!$B$2:$B$1264,A247)</x:f>
        <x:v>2</x:v>
      </x:c>
      <x:c r="C247" s="21" t="n">
        <x:f>SUMIF('Serviços'!$B$2:$B$1264,A247,'Serviços'!$I$2:$I$1264)</x:f>
        <x:v>1558.3</x:v>
      </x:c>
      <x:c r="D247" s="21" t="n">
        <x:f>COUNTIF('Pagantes'!$B$2:$B$268,A247)</x:f>
        <x:v>1</x:v>
      </x:c>
      <x:c r="E247" s="21" t="n">
        <x:f>SUMIF('Pagantes'!$B$2:$B$268,A247,'Pagantes'!$D$2:$D$268)</x:f>
        <x:v>1558.3</x:v>
      </x:c>
      <x:c r="F247" s="21" t="n">
        <x:f>SUMIFS('Pagantes'!$D$2:$D$268,'Pagantes'!$B$2:$B$268,A247,'Pagantes'!$E$2:$E$268,"&lt;&gt;Cancelado")</x:f>
        <x:v>1558.3</x:v>
      </x:c>
      <x:c r="G247" s="21" t="n">
        <x:f>E247-F247</x:f>
        <x:v>0</x:v>
      </x:c>
      <x:c r="H247" s="21" t="n">
        <x:f>ROUND(F247-C247,2)</x:f>
        <x:v>0</x:v>
      </x:c>
      <x:c r="I247" s="21" t="n">
        <x:f>ROUND(E247-C247,2)</x:f>
        <x:v>0</x:v>
      </x:c>
      <x:c r="J247" s="17" t="str">
        <x:f>IF(B247=0,"SEM SERVIÇO NA GERAL",IF(D247=0,"SEM PAGANTE NO ARQUIVO",IF(H247=0,"BATE",IF(H247&lt;0,"PAGANTES A MENOS","PAGANTES A MAIS"))))</x:f>
        <x:v>BATE</x:v>
      </x:c>
    </x:row>
    <x:row r="248" ht="15" hidden="0" customHeight="1">
      <x:c r="A248" s="17" t="str">
        <x:v>OP-1275</x:v>
      </x:c>
      <x:c r="B248" s="17" t="n">
        <x:f>COUNTIF('Serviços'!$B$2:$B$1264,A248)</x:f>
        <x:v>23</x:v>
      </x:c>
      <x:c r="C248" s="21" t="n">
        <x:f>SUMIF('Serviços'!$B$2:$B$1264,A248,'Serviços'!$I$2:$I$1264)</x:f>
        <x:v>4135.530000000002</x:v>
      </x:c>
      <x:c r="D248" s="21" t="n">
        <x:f>COUNTIF('Pagantes'!$B$2:$B$268,A248)</x:f>
        <x:v>1</x:v>
      </x:c>
      <x:c r="E248" s="21" t="n">
        <x:f>SUMIF('Pagantes'!$B$2:$B$268,A248,'Pagantes'!$D$2:$D$268)</x:f>
        <x:v>4135.53</x:v>
      </x:c>
      <x:c r="F248" s="21" t="n">
        <x:f>SUMIFS('Pagantes'!$D$2:$D$268,'Pagantes'!$B$2:$B$268,A248,'Pagantes'!$E$2:$E$268,"&lt;&gt;Cancelado")</x:f>
        <x:v>4135.53</x:v>
      </x:c>
      <x:c r="G248" s="21" t="n">
        <x:f>E248-F248</x:f>
        <x:v>0</x:v>
      </x:c>
      <x:c r="H248" s="21" t="n">
        <x:f>ROUND(F248-C248,2)</x:f>
        <x:v>0</x:v>
      </x:c>
      <x:c r="I248" s="21" t="n">
        <x:f>ROUND(E248-C248,2)</x:f>
        <x:v>0</x:v>
      </x:c>
      <x:c r="J248" s="17" t="str">
        <x:f>IF(B248=0,"SEM SERVIÇO NA GERAL",IF(D248=0,"SEM PAGANTE NO ARQUIVO",IF(H248=0,"BATE",IF(H248&lt;0,"PAGANTES A MENOS","PAGANTES A MAIS"))))</x:f>
        <x:v>BATE</x:v>
      </x:c>
    </x:row>
    <x:row r="249" ht="15" hidden="0" customHeight="1">
      <x:c r="A249" s="17" t="str">
        <x:v>OP-1276</x:v>
      </x:c>
      <x:c r="B249" s="17" t="n">
        <x:f>COUNTIF('Serviços'!$B$2:$B$1264,A249)</x:f>
        <x:v>2</x:v>
      </x:c>
      <x:c r="C249" s="21" t="n">
        <x:f>SUMIF('Serviços'!$B$2:$B$1264,A249,'Serviços'!$I$2:$I$1264)</x:f>
        <x:v>952.96</x:v>
      </x:c>
      <x:c r="D249" s="21" t="n">
        <x:f>COUNTIF('Pagantes'!$B$2:$B$268,A249)</x:f>
        <x:v>1</x:v>
      </x:c>
      <x:c r="E249" s="21" t="n">
        <x:f>SUMIF('Pagantes'!$B$2:$B$268,A249,'Pagantes'!$D$2:$D$268)</x:f>
        <x:v>952.96</x:v>
      </x:c>
      <x:c r="F249" s="21" t="n">
        <x:f>SUMIFS('Pagantes'!$D$2:$D$268,'Pagantes'!$B$2:$B$268,A249,'Pagantes'!$E$2:$E$268,"&lt;&gt;Cancelado")</x:f>
        <x:v>952.96</x:v>
      </x:c>
      <x:c r="G249" s="21" t="n">
        <x:f>E249-F249</x:f>
        <x:v>0</x:v>
      </x:c>
      <x:c r="H249" s="21" t="n">
        <x:f>ROUND(F249-C249,2)</x:f>
        <x:v>0</x:v>
      </x:c>
      <x:c r="I249" s="21" t="n">
        <x:f>ROUND(E249-C249,2)</x:f>
        <x:v>0</x:v>
      </x:c>
      <x:c r="J249" s="17" t="str">
        <x:f>IF(B249=0,"SEM SERVIÇO NA GERAL",IF(D249=0,"SEM PAGANTE NO ARQUIVO",IF(H249=0,"BATE",IF(H249&lt;0,"PAGANTES A MENOS","PAGANTES A MAIS"))))</x:f>
        <x:v>BATE</x:v>
      </x:c>
    </x:row>
    <x:row r="250" ht="15" hidden="0" customHeight="1">
      <x:c r="A250" s="17" t="str">
        <x:v>OP-1277</x:v>
      </x:c>
      <x:c r="B250" s="17" t="n">
        <x:f>COUNTIF('Serviços'!$B$2:$B$1264,A250)</x:f>
        <x:v>2</x:v>
      </x:c>
      <x:c r="C250" s="21" t="n">
        <x:f>SUMIF('Serviços'!$B$2:$B$1264,A250,'Serviços'!$I$2:$I$1264)</x:f>
        <x:v>1050.72</x:v>
      </x:c>
      <x:c r="D250" s="21" t="n">
        <x:f>COUNTIF('Pagantes'!$B$2:$B$268,A250)</x:f>
        <x:v>1</x:v>
      </x:c>
      <x:c r="E250" s="21" t="n">
        <x:f>SUMIF('Pagantes'!$B$2:$B$268,A250,'Pagantes'!$D$2:$D$268)</x:f>
        <x:v>1050.72</x:v>
      </x:c>
      <x:c r="F250" s="21" t="n">
        <x:f>SUMIFS('Pagantes'!$D$2:$D$268,'Pagantes'!$B$2:$B$268,A250,'Pagantes'!$E$2:$E$268,"&lt;&gt;Cancelado")</x:f>
        <x:v>1050.72</x:v>
      </x:c>
      <x:c r="G250" s="21" t="n">
        <x:f>E250-F250</x:f>
        <x:v>0</x:v>
      </x:c>
      <x:c r="H250" s="21" t="n">
        <x:f>ROUND(F250-C250,2)</x:f>
        <x:v>0</x:v>
      </x:c>
      <x:c r="I250" s="21" t="n">
        <x:f>ROUND(E250-C250,2)</x:f>
        <x:v>0</x:v>
      </x:c>
      <x:c r="J250" s="17" t="str">
        <x:f>IF(B250=0,"SEM SERVIÇO NA GERAL",IF(D250=0,"SEM PAGANTE NO ARQUIVO",IF(H250=0,"BATE",IF(H250&lt;0,"PAGANTES A MENOS","PAGANTES A MAIS"))))</x:f>
        <x:v>BATE</x:v>
      </x:c>
    </x:row>
    <x:row r="251" ht="15" hidden="0" customHeight="1">
      <x:c r="A251" s="17" t="str">
        <x:v>OP-1278</x:v>
      </x:c>
      <x:c r="B251" s="17" t="n">
        <x:f>COUNTIF('Serviços'!$B$2:$B$1264,A251)</x:f>
        <x:v>2</x:v>
      </x:c>
      <x:c r="C251" s="21" t="n">
        <x:f>SUMIF('Serviços'!$B$2:$B$1264,A251,'Serviços'!$I$2:$I$1264)</x:f>
        <x:v>859.1</x:v>
      </x:c>
      <x:c r="D251" s="21" t="n">
        <x:f>COUNTIF('Pagantes'!$B$2:$B$268,A251)</x:f>
        <x:v>1</x:v>
      </x:c>
      <x:c r="E251" s="21" t="n">
        <x:f>SUMIF('Pagantes'!$B$2:$B$268,A251,'Pagantes'!$D$2:$D$268)</x:f>
        <x:v>859.1</x:v>
      </x:c>
      <x:c r="F251" s="21" t="n">
        <x:f>SUMIFS('Pagantes'!$D$2:$D$268,'Pagantes'!$B$2:$B$268,A251,'Pagantes'!$E$2:$E$268,"&lt;&gt;Cancelado")</x:f>
        <x:v>859.1</x:v>
      </x:c>
      <x:c r="G251" s="21" t="n">
        <x:f>E251-F251</x:f>
        <x:v>0</x:v>
      </x:c>
      <x:c r="H251" s="21" t="n">
        <x:f>ROUND(F251-C251,2)</x:f>
        <x:v>0</x:v>
      </x:c>
      <x:c r="I251" s="21" t="n">
        <x:f>ROUND(E251-C251,2)</x:f>
        <x:v>0</x:v>
      </x:c>
      <x:c r="J251" s="17" t="str">
        <x:f>IF(B251=0,"SEM SERVIÇO NA GERAL",IF(D251=0,"SEM PAGANTE NO ARQUIVO",IF(H251=0,"BATE",IF(H251&lt;0,"PAGANTES A MENOS","PAGANTES A MAIS"))))</x:f>
        <x:v>BATE</x:v>
      </x:c>
    </x:row>
    <x:row r="252" ht="15" hidden="0" customHeight="1">
      <x:c r="A252" s="17" t="str">
        <x:v>OP-1279</x:v>
      </x:c>
      <x:c r="B252" s="17" t="n">
        <x:f>COUNTIF('Serviços'!$B$2:$B$1264,A252)</x:f>
        <x:v>2</x:v>
      </x:c>
      <x:c r="C252" s="21" t="n">
        <x:f>SUMIF('Serviços'!$B$2:$B$1264,A252,'Serviços'!$I$2:$I$1264)</x:f>
        <x:v>859.1</x:v>
      </x:c>
      <x:c r="D252" s="21" t="n">
        <x:f>COUNTIF('Pagantes'!$B$2:$B$268,A252)</x:f>
        <x:v>1</x:v>
      </x:c>
      <x:c r="E252" s="21" t="n">
        <x:f>SUMIF('Pagantes'!$B$2:$B$268,A252,'Pagantes'!$D$2:$D$268)</x:f>
        <x:v>859.1</x:v>
      </x:c>
      <x:c r="F252" s="21" t="n">
        <x:f>SUMIFS('Pagantes'!$D$2:$D$268,'Pagantes'!$B$2:$B$268,A252,'Pagantes'!$E$2:$E$268,"&lt;&gt;Cancelado")</x:f>
        <x:v>859.1</x:v>
      </x:c>
      <x:c r="G252" s="21" t="n">
        <x:f>E252-F252</x:f>
        <x:v>0</x:v>
      </x:c>
      <x:c r="H252" s="21" t="n">
        <x:f>ROUND(F252-C252,2)</x:f>
        <x:v>0</x:v>
      </x:c>
      <x:c r="I252" s="21" t="n">
        <x:f>ROUND(E252-C252,2)</x:f>
        <x:v>0</x:v>
      </x:c>
      <x:c r="J252" s="17" t="str">
        <x:f>IF(B252=0,"SEM SERVIÇO NA GERAL",IF(D252=0,"SEM PAGANTE NO ARQUIVO",IF(H252=0,"BATE",IF(H252&lt;0,"PAGANTES A MENOS","PAGANTES A MAIS"))))</x:f>
        <x:v>BATE</x:v>
      </x:c>
    </x:row>
    <x:row r="253" ht="15" hidden="0" customHeight="1">
      <x:c r="A253" s="17" t="str">
        <x:v>OP-1280</x:v>
      </x:c>
      <x:c r="B253" s="17" t="n">
        <x:f>COUNTIF('Serviços'!$B$2:$B$1264,A253)</x:f>
        <x:v>2</x:v>
      </x:c>
      <x:c r="C253" s="21" t="n">
        <x:f>SUMIF('Serviços'!$B$2:$B$1264,A253,'Serviços'!$I$2:$I$1264)</x:f>
        <x:v>1023.46</x:v>
      </x:c>
      <x:c r="D253" s="21" t="n">
        <x:f>COUNTIF('Pagantes'!$B$2:$B$268,A253)</x:f>
        <x:v>1</x:v>
      </x:c>
      <x:c r="E253" s="21" t="n">
        <x:f>SUMIF('Pagantes'!$B$2:$B$268,A253,'Pagantes'!$D$2:$D$268)</x:f>
        <x:v>1023.46</x:v>
      </x:c>
      <x:c r="F253" s="21" t="n">
        <x:f>SUMIFS('Pagantes'!$D$2:$D$268,'Pagantes'!$B$2:$B$268,A253,'Pagantes'!$E$2:$E$268,"&lt;&gt;Cancelado")</x:f>
        <x:v>1023.46</x:v>
      </x:c>
      <x:c r="G253" s="21" t="n">
        <x:f>E253-F253</x:f>
        <x:v>0</x:v>
      </x:c>
      <x:c r="H253" s="21" t="n">
        <x:f>ROUND(F253-C253,2)</x:f>
        <x:v>0</x:v>
      </x:c>
      <x:c r="I253" s="21" t="n">
        <x:f>ROUND(E253-C253,2)</x:f>
        <x:v>0</x:v>
      </x:c>
      <x:c r="J253" s="17" t="str">
        <x:f>IF(B253=0,"SEM SERVIÇO NA GERAL",IF(D253=0,"SEM PAGANTE NO ARQUIVO",IF(H253=0,"BATE",IF(H253&lt;0,"PAGANTES A MENOS","PAGANTES A MAIS"))))</x:f>
        <x:v>BATE</x:v>
      </x:c>
    </x:row>
    <x:row r="254" ht="15" hidden="0" customHeight="1">
      <x:c r="A254" s="17" t="str">
        <x:v>OP-1281</x:v>
      </x:c>
      <x:c r="B254" s="17" t="n">
        <x:f>COUNTIF('Serviços'!$B$2:$B$1264,A254)</x:f>
        <x:v>2</x:v>
      </x:c>
      <x:c r="C254" s="21" t="n">
        <x:f>SUMIF('Serviços'!$B$2:$B$1264,A254,'Serviços'!$I$2:$I$1264)</x:f>
        <x:v>1273.98</x:v>
      </x:c>
      <x:c r="D254" s="21" t="n">
        <x:f>COUNTIF('Pagantes'!$B$2:$B$268,A254)</x:f>
        <x:v>1</x:v>
      </x:c>
      <x:c r="E254" s="21" t="n">
        <x:f>SUMIF('Pagantes'!$B$2:$B$268,A254,'Pagantes'!$D$2:$D$268)</x:f>
        <x:v>1273.98</x:v>
      </x:c>
      <x:c r="F254" s="21" t="n">
        <x:f>SUMIFS('Pagantes'!$D$2:$D$268,'Pagantes'!$B$2:$B$268,A254,'Pagantes'!$E$2:$E$268,"&lt;&gt;Cancelado")</x:f>
        <x:v>1273.98</x:v>
      </x:c>
      <x:c r="G254" s="21" t="n">
        <x:f>E254-F254</x:f>
        <x:v>0</x:v>
      </x:c>
      <x:c r="H254" s="21" t="n">
        <x:f>ROUND(F254-C254,2)</x:f>
        <x:v>0</x:v>
      </x:c>
      <x:c r="I254" s="21" t="n">
        <x:f>ROUND(E254-C254,2)</x:f>
        <x:v>0</x:v>
      </x:c>
      <x:c r="J254" s="17" t="str">
        <x:f>IF(B254=0,"SEM SERVIÇO NA GERAL",IF(D254=0,"SEM PAGANTE NO ARQUIVO",IF(H254=0,"BATE",IF(H254&lt;0,"PAGANTES A MENOS","PAGANTES A MAIS"))))</x:f>
        <x:v>BATE</x:v>
      </x:c>
    </x:row>
    <x:row r="255" ht="15" hidden="0" customHeight="1">
      <x:c r="A255" s="17" t="str">
        <x:v>OP-1282</x:v>
      </x:c>
      <x:c r="B255" s="17" t="n">
        <x:f>COUNTIF('Serviços'!$B$2:$B$1264,A255)</x:f>
        <x:v>1</x:v>
      </x:c>
      <x:c r="C255" s="21" t="n">
        <x:f>SUMIF('Serviços'!$B$2:$B$1264,A255,'Serviços'!$I$2:$I$1264)</x:f>
        <x:v>1421.03</x:v>
      </x:c>
      <x:c r="D255" s="21" t="n">
        <x:f>COUNTIF('Pagantes'!$B$2:$B$268,A255)</x:f>
        <x:v>1</x:v>
      </x:c>
      <x:c r="E255" s="21" t="n">
        <x:f>SUMIF('Pagantes'!$B$2:$B$268,A255,'Pagantes'!$D$2:$D$268)</x:f>
        <x:v>1421.03</x:v>
      </x:c>
      <x:c r="F255" s="21" t="n">
        <x:f>SUMIFS('Pagantes'!$D$2:$D$268,'Pagantes'!$B$2:$B$268,A255,'Pagantes'!$E$2:$E$268,"&lt;&gt;Cancelado")</x:f>
        <x:v>1421.03</x:v>
      </x:c>
      <x:c r="G255" s="21" t="n">
        <x:f>E255-F255</x:f>
        <x:v>0</x:v>
      </x:c>
      <x:c r="H255" s="21" t="n">
        <x:f>ROUND(F255-C255,2)</x:f>
        <x:v>0</x:v>
      </x:c>
      <x:c r="I255" s="21" t="n">
        <x:f>ROUND(E255-C255,2)</x:f>
        <x:v>0</x:v>
      </x:c>
      <x:c r="J255" s="17" t="str">
        <x:f>IF(B255=0,"SEM SERVIÇO NA GERAL",IF(D255=0,"SEM PAGANTE NO ARQUIVO",IF(H255=0,"BATE",IF(H255&lt;0,"PAGANTES A MENOS","PAGANTES A MAIS"))))</x:f>
        <x:v>BATE</x:v>
      </x:c>
    </x:row>
    <x:row r="256" ht="15" hidden="0" customHeight="1">
      <x:c r="A256" s="17" t="str">
        <x:v>OP-1283</x:v>
      </x:c>
      <x:c r="B256" s="17" t="n">
        <x:f>COUNTIF('Serviços'!$B$2:$B$1264,A256)</x:f>
        <x:v>1</x:v>
      </x:c>
      <x:c r="C256" s="21" t="n">
        <x:f>SUMIF('Serviços'!$B$2:$B$1264,A256,'Serviços'!$I$2:$I$1264)</x:f>
        <x:v>1056.24</x:v>
      </x:c>
      <x:c r="D256" s="21" t="n">
        <x:f>COUNTIF('Pagantes'!$B$2:$B$268,A256)</x:f>
        <x:v>1</x:v>
      </x:c>
      <x:c r="E256" s="21" t="n">
        <x:f>SUMIF('Pagantes'!$B$2:$B$268,A256,'Pagantes'!$D$2:$D$268)</x:f>
        <x:v>1056.24</x:v>
      </x:c>
      <x:c r="F256" s="21" t="n">
        <x:f>SUMIFS('Pagantes'!$D$2:$D$268,'Pagantes'!$B$2:$B$268,A256,'Pagantes'!$E$2:$E$268,"&lt;&gt;Cancelado")</x:f>
        <x:v>1056.24</x:v>
      </x:c>
      <x:c r="G256" s="21" t="n">
        <x:f>E256-F256</x:f>
        <x:v>0</x:v>
      </x:c>
      <x:c r="H256" s="21" t="n">
        <x:f>ROUND(F256-C256,2)</x:f>
        <x:v>0</x:v>
      </x:c>
      <x:c r="I256" s="21" t="n">
        <x:f>ROUND(E256-C256,2)</x:f>
        <x:v>0</x:v>
      </x:c>
      <x:c r="J256" s="17" t="str">
        <x:f>IF(B256=0,"SEM SERVIÇO NA GERAL",IF(D256=0,"SEM PAGANTE NO ARQUIVO",IF(H256=0,"BATE",IF(H256&lt;0,"PAGANTES A MENOS","PAGANTES A MAIS"))))</x:f>
        <x:v>BATE</x:v>
      </x:c>
    </x:row>
    <x:row r="257" ht="15" hidden="0" customHeight="1">
      <x:c r="A257" s="17" t="str">
        <x:v>OP-1284</x:v>
      </x:c>
      <x:c r="B257" s="17" t="n">
        <x:f>COUNTIF('Serviços'!$B$2:$B$1264,A257)</x:f>
        <x:v>1</x:v>
      </x:c>
      <x:c r="C257" s="21" t="n">
        <x:f>SUMIF('Serviços'!$B$2:$B$1264,A257,'Serviços'!$I$2:$I$1264)</x:f>
        <x:v>849</x:v>
      </x:c>
      <x:c r="D257" s="21" t="n">
        <x:f>COUNTIF('Pagantes'!$B$2:$B$268,A257)</x:f>
        <x:v>1</x:v>
      </x:c>
      <x:c r="E257" s="21" t="n">
        <x:f>SUMIF('Pagantes'!$B$2:$B$268,A257,'Pagantes'!$D$2:$D$268)</x:f>
        <x:v>849</x:v>
      </x:c>
      <x:c r="F257" s="21" t="n">
        <x:f>SUMIFS('Pagantes'!$D$2:$D$268,'Pagantes'!$B$2:$B$268,A257,'Pagantes'!$E$2:$E$268,"&lt;&gt;Cancelado")</x:f>
        <x:v>849</x:v>
      </x:c>
      <x:c r="G257" s="21" t="n">
        <x:f>E257-F257</x:f>
        <x:v>0</x:v>
      </x:c>
      <x:c r="H257" s="21" t="n">
        <x:f>ROUND(F257-C257,2)</x:f>
        <x:v>0</x:v>
      </x:c>
      <x:c r="I257" s="21" t="n">
        <x:f>ROUND(E257-C257,2)</x:f>
        <x:v>0</x:v>
      </x:c>
      <x:c r="J257" s="17" t="str">
        <x:f>IF(B257=0,"SEM SERVIÇO NA GERAL",IF(D257=0,"SEM PAGANTE NO ARQUIVO",IF(H257=0,"BATE",IF(H257&lt;0,"PAGANTES A MENOS","PAGANTES A MAIS"))))</x:f>
        <x:v>BATE</x:v>
      </x:c>
    </x:row>
    <x:row r="258" ht="15" hidden="0" customHeight="1">
      <x:c r="A258" s="17" t="str">
        <x:v>OP-1285</x:v>
      </x:c>
      <x:c r="B258" s="17" t="n">
        <x:f>COUNTIF('Serviços'!$B$2:$B$1264,A258)</x:f>
        <x:v>1</x:v>
      </x:c>
      <x:c r="C258" s="21" t="n">
        <x:f>SUMIF('Serviços'!$B$2:$B$1264,A258,'Serviços'!$I$2:$I$1264)</x:f>
        <x:v>1290</x:v>
      </x:c>
      <x:c r="D258" s="21" t="n">
        <x:f>COUNTIF('Pagantes'!$B$2:$B$268,A258)</x:f>
        <x:v>1</x:v>
      </x:c>
      <x:c r="E258" s="21" t="n">
        <x:f>SUMIF('Pagantes'!$B$2:$B$268,A258,'Pagantes'!$D$2:$D$268)</x:f>
        <x:v>1290</x:v>
      </x:c>
      <x:c r="F258" s="21" t="n">
        <x:f>SUMIFS('Pagantes'!$D$2:$D$268,'Pagantes'!$B$2:$B$268,A258,'Pagantes'!$E$2:$E$268,"&lt;&gt;Cancelado")</x:f>
        <x:v>1290</x:v>
      </x:c>
      <x:c r="G258" s="21" t="n">
        <x:f>E258-F258</x:f>
        <x:v>0</x:v>
      </x:c>
      <x:c r="H258" s="21" t="n">
        <x:f>ROUND(F258-C258,2)</x:f>
        <x:v>0</x:v>
      </x:c>
      <x:c r="I258" s="21" t="n">
        <x:f>ROUND(E258-C258,2)</x:f>
        <x:v>0</x:v>
      </x:c>
      <x:c r="J258" s="17" t="str">
        <x:f>IF(B258=0,"SEM SERVIÇO NA GERAL",IF(D258=0,"SEM PAGANTE NO ARQUIVO",IF(H258=0,"BATE",IF(H258&lt;0,"PAGANTES A MENOS","PAGANTES A MAIS"))))</x:f>
        <x:v>BATE</x:v>
      </x:c>
    </x:row>
    <x:row r="259" ht="15" hidden="0" customHeight="1">
      <x:c r="A259" s="17" t="str">
        <x:v>OP-1286</x:v>
      </x:c>
      <x:c r="B259" s="17" t="n">
        <x:f>COUNTIF('Serviços'!$B$2:$B$1264,A259)</x:f>
        <x:v>5</x:v>
      </x:c>
      <x:c r="C259" s="21" t="n">
        <x:f>SUMIF('Serviços'!$B$2:$B$1264,A259,'Serviços'!$I$2:$I$1264)</x:f>
        <x:v>2141.23</x:v>
      </x:c>
      <x:c r="D259" s="21" t="n">
        <x:f>COUNTIF('Pagantes'!$B$2:$B$268,A259)</x:f>
        <x:v>1</x:v>
      </x:c>
      <x:c r="E259" s="21" t="n">
        <x:f>SUMIF('Pagantes'!$B$2:$B$268,A259,'Pagantes'!$D$2:$D$268)</x:f>
        <x:v>3212.54</x:v>
      </x:c>
      <x:c r="F259" s="21" t="n">
        <x:f>SUMIFS('Pagantes'!$D$2:$D$268,'Pagantes'!$B$2:$B$268,A259,'Pagantes'!$E$2:$E$268,"&lt;&gt;Cancelado")</x:f>
        <x:v>3212.54</x:v>
      </x:c>
      <x:c r="G259" s="21" t="n">
        <x:f>E259-F259</x:f>
        <x:v>0</x:v>
      </x:c>
      <x:c r="H259" s="21" t="n">
        <x:f>ROUND(F259-C259,2)</x:f>
        <x:v>1071.31</x:v>
      </x:c>
      <x:c r="I259" s="21" t="n">
        <x:f>ROUND(E259-C259,2)</x:f>
        <x:v>1071.31</x:v>
      </x:c>
      <x:c r="J259" s="17" t="str">
        <x:f>IF(B259=0,"SEM SERVIÇO NA GERAL",IF(D259=0,"SEM PAGANTE NO ARQUIVO",IF(H259=0,"BATE",IF(H259&lt;0,"PAGANTES A MENOS","PAGANTES A MAIS"))))</x:f>
        <x:v>PAGANTES A MAIS</x:v>
      </x:c>
    </x:row>
    <x:row r="260" ht="15" hidden="0" customHeight="1">
      <x:c r="A260" s="17" t="str">
        <x:v>OP-1287</x:v>
      </x:c>
      <x:c r="B260" s="17" t="n">
        <x:f>COUNTIF('Serviços'!$B$2:$B$1264,A260)</x:f>
        <x:v>1</x:v>
      </x:c>
      <x:c r="C260" s="21" t="n">
        <x:f>SUMIF('Serviços'!$B$2:$B$1264,A260,'Serviços'!$I$2:$I$1264)</x:f>
        <x:v>1290</x:v>
      </x:c>
      <x:c r="D260" s="21" t="n">
        <x:f>COUNTIF('Pagantes'!$B$2:$B$268,A260)</x:f>
        <x:v>1</x:v>
      </x:c>
      <x:c r="E260" s="21" t="n">
        <x:f>SUMIF('Pagantes'!$B$2:$B$268,A260,'Pagantes'!$D$2:$D$268)</x:f>
        <x:v>1290</x:v>
      </x:c>
      <x:c r="F260" s="21" t="n">
        <x:f>SUMIFS('Pagantes'!$D$2:$D$268,'Pagantes'!$B$2:$B$268,A260,'Pagantes'!$E$2:$E$268,"&lt;&gt;Cancelado")</x:f>
        <x:v>1290</x:v>
      </x:c>
      <x:c r="G260" s="21" t="n">
        <x:f>E260-F260</x:f>
        <x:v>0</x:v>
      </x:c>
      <x:c r="H260" s="21" t="n">
        <x:f>ROUND(F260-C260,2)</x:f>
        <x:v>0</x:v>
      </x:c>
      <x:c r="I260" s="21" t="n">
        <x:f>ROUND(E260-C260,2)</x:f>
        <x:v>0</x:v>
      </x:c>
      <x:c r="J260" s="17" t="str">
        <x:f>IF(B260=0,"SEM SERVIÇO NA GERAL",IF(D260=0,"SEM PAGANTE NO ARQUIVO",IF(H260=0,"BATE",IF(H260&lt;0,"PAGANTES A MENOS","PAGANTES A MAIS"))))</x:f>
        <x:v>BATE</x:v>
      </x:c>
    </x:row>
    <x:row r="261" ht="15" hidden="0" customHeight="1">
      <x:c r="A261" s="17" t="str">
        <x:v>OP-1288</x:v>
      </x:c>
      <x:c r="B261" s="17" t="n">
        <x:f>COUNTIF('Serviços'!$B$2:$B$1264,A261)</x:f>
        <x:v>2</x:v>
      </x:c>
      <x:c r="C261" s="21" t="n">
        <x:f>SUMIF('Serviços'!$B$2:$B$1264,A261,'Serviços'!$I$2:$I$1264)</x:f>
        <x:v>859.1</x:v>
      </x:c>
      <x:c r="D261" s="21" t="n">
        <x:f>COUNTIF('Pagantes'!$B$2:$B$268,A261)</x:f>
        <x:v>1</x:v>
      </x:c>
      <x:c r="E261" s="21" t="n">
        <x:f>SUMIF('Pagantes'!$B$2:$B$268,A261,'Pagantes'!$D$2:$D$268)</x:f>
        <x:v>859.1</x:v>
      </x:c>
      <x:c r="F261" s="21" t="n">
        <x:f>SUMIFS('Pagantes'!$D$2:$D$268,'Pagantes'!$B$2:$B$268,A261,'Pagantes'!$E$2:$E$268,"&lt;&gt;Cancelado")</x:f>
        <x:v>859.1</x:v>
      </x:c>
      <x:c r="G261" s="21" t="n">
        <x:f>E261-F261</x:f>
        <x:v>0</x:v>
      </x:c>
      <x:c r="H261" s="21" t="n">
        <x:f>ROUND(F261-C261,2)</x:f>
        <x:v>0</x:v>
      </x:c>
      <x:c r="I261" s="21" t="n">
        <x:f>ROUND(E261-C261,2)</x:f>
        <x:v>0</x:v>
      </x:c>
      <x:c r="J261" s="17" t="str">
        <x:f>IF(B261=0,"SEM SERVIÇO NA GERAL",IF(D261=0,"SEM PAGANTE NO ARQUIVO",IF(H261=0,"BATE",IF(H261&lt;0,"PAGANTES A MENOS","PAGANTES A MAIS"))))</x:f>
        <x:v>BATE</x:v>
      </x:c>
    </x:row>
    <x:row r="262" ht="15" hidden="0" customHeight="1">
      <x:c r="A262" s="17" t="str">
        <x:v>OP-1289</x:v>
      </x:c>
      <x:c r="B262" s="17" t="n">
        <x:f>COUNTIF('Serviços'!$B$2:$B$1264,A262)</x:f>
        <x:v>41</x:v>
      </x:c>
      <x:c r="C262" s="21" t="n">
        <x:f>SUMIF('Serviços'!$B$2:$B$1264,A262,'Serviços'!$I$2:$I$1264)</x:f>
        <x:v>5583.199999999998</x:v>
      </x:c>
      <x:c r="D262" s="21" t="n">
        <x:f>COUNTIF('Pagantes'!$B$2:$B$268,A262)</x:f>
        <x:v>1</x:v>
      </x:c>
      <x:c r="E262" s="21" t="n">
        <x:f>SUMIF('Pagantes'!$B$2:$B$268,A262,'Pagantes'!$D$2:$D$268)</x:f>
        <x:v>5583.2</x:v>
      </x:c>
      <x:c r="F262" s="21" t="n">
        <x:f>SUMIFS('Pagantes'!$D$2:$D$268,'Pagantes'!$B$2:$B$268,A262,'Pagantes'!$E$2:$E$268,"&lt;&gt;Cancelado")</x:f>
        <x:v>5583.2</x:v>
      </x:c>
      <x:c r="G262" s="21" t="n">
        <x:f>E262-F262</x:f>
        <x:v>0</x:v>
      </x:c>
      <x:c r="H262" s="21" t="n">
        <x:f>ROUND(F262-C262,2)</x:f>
        <x:v>0</x:v>
      </x:c>
      <x:c r="I262" s="21" t="n">
        <x:f>ROUND(E262-C262,2)</x:f>
        <x:v>0</x:v>
      </x:c>
      <x:c r="J262" s="17" t="str">
        <x:f>IF(B262=0,"SEM SERVIÇO NA GERAL",IF(D262=0,"SEM PAGANTE NO ARQUIVO",IF(H262=0,"BATE",IF(H262&lt;0,"PAGANTES A MENOS","PAGANTES A MAIS"))))</x:f>
        <x:v>BATE</x:v>
      </x:c>
    </x:row>
    <x:row r="263" ht="15" hidden="0" customHeight="1">
      <x:c r="A263" s="17" t="str">
        <x:v>OP-1290</x:v>
      </x:c>
      <x:c r="B263" s="17" t="n">
        <x:f>COUNTIF('Serviços'!$B$2:$B$1264,A263)</x:f>
        <x:v>3</x:v>
      </x:c>
      <x:c r="C263" s="21" t="n">
        <x:f>SUMIF('Serviços'!$B$2:$B$1264,A263,'Serviços'!$I$2:$I$1264)</x:f>
        <x:v>1100.21</x:v>
      </x:c>
      <x:c r="D263" s="21" t="n">
        <x:f>COUNTIF('Pagantes'!$B$2:$B$268,A263)</x:f>
        <x:v>1</x:v>
      </x:c>
      <x:c r="E263" s="21" t="n">
        <x:f>SUMIF('Pagantes'!$B$2:$B$268,A263,'Pagantes'!$D$2:$D$268)</x:f>
        <x:v>871.53</x:v>
      </x:c>
      <x:c r="F263" s="21" t="n">
        <x:f>SUMIFS('Pagantes'!$D$2:$D$268,'Pagantes'!$B$2:$B$268,A263,'Pagantes'!$E$2:$E$268,"&lt;&gt;Cancelado")</x:f>
        <x:v>871.53</x:v>
      </x:c>
      <x:c r="G263" s="21" t="n">
        <x:f>E263-F263</x:f>
        <x:v>0</x:v>
      </x:c>
      <x:c r="H263" s="21" t="n">
        <x:f>ROUND(F263-C263,2)</x:f>
        <x:v>-228.68</x:v>
      </x:c>
      <x:c r="I263" s="21" t="n">
        <x:f>ROUND(E263-C263,2)</x:f>
        <x:v>-228.68</x:v>
      </x:c>
      <x:c r="J263" s="17" t="str">
        <x:f>IF(B263=0,"SEM SERVIÇO NA GERAL",IF(D263=0,"SEM PAGANTE NO ARQUIVO",IF(H263=0,"BATE",IF(H263&lt;0,"PAGANTES A MENOS","PAGANTES A MAIS"))))</x:f>
        <x:v>PAGANTES A MENOS</x:v>
      </x:c>
    </x:row>
    <x:row r="264" ht="15" hidden="0" customHeight="1">
      <x:c r="A264" s="17" t="str">
        <x:v>OP-1291</x:v>
      </x:c>
      <x:c r="B264" s="17" t="n">
        <x:f>COUNTIF('Serviços'!$B$2:$B$1264,A264)</x:f>
        <x:v>2</x:v>
      </x:c>
      <x:c r="C264" s="21" t="n">
        <x:f>SUMIF('Serviços'!$B$2:$B$1264,A264,'Serviços'!$I$2:$I$1264)</x:f>
        <x:v>925.7</x:v>
      </x:c>
      <x:c r="D264" s="21" t="n">
        <x:f>COUNTIF('Pagantes'!$B$2:$B$268,A264)</x:f>
        <x:v>1</x:v>
      </x:c>
      <x:c r="E264" s="21" t="n">
        <x:f>SUMIF('Pagantes'!$B$2:$B$268,A264,'Pagantes'!$D$2:$D$268)</x:f>
        <x:v>711.02</x:v>
      </x:c>
      <x:c r="F264" s="21" t="n">
        <x:f>SUMIFS('Pagantes'!$D$2:$D$268,'Pagantes'!$B$2:$B$268,A264,'Pagantes'!$E$2:$E$268,"&lt;&gt;Cancelado")</x:f>
        <x:v>711.02</x:v>
      </x:c>
      <x:c r="G264" s="21" t="n">
        <x:f>E264-F264</x:f>
        <x:v>0</x:v>
      </x:c>
      <x:c r="H264" s="21" t="n">
        <x:f>ROUND(F264-C264,2)</x:f>
        <x:v>-214.68</x:v>
      </x:c>
      <x:c r="I264" s="21" t="n">
        <x:f>ROUND(E264-C264,2)</x:f>
        <x:v>-214.68</x:v>
      </x:c>
      <x:c r="J264" s="17" t="str">
        <x:f>IF(B264=0,"SEM SERVIÇO NA GERAL",IF(D264=0,"SEM PAGANTE NO ARQUIVO",IF(H264=0,"BATE",IF(H264&lt;0,"PAGANTES A MENOS","PAGANTES A MAIS"))))</x:f>
        <x:v>PAGANTES A MENOS</x:v>
      </x:c>
    </x:row>
    <x:row r="265" ht="15" hidden="0" customHeight="1">
      <x:c r="A265" s="17" t="str">
        <x:v>OP-1292</x:v>
      </x:c>
      <x:c r="B265" s="17" t="n">
        <x:f>COUNTIF('Serviços'!$B$2:$B$1264,A265)</x:f>
        <x:v>4</x:v>
      </x:c>
      <x:c r="C265" s="21" t="n">
        <x:f>SUMIF('Serviços'!$B$2:$B$1264,A265,'Serviços'!$I$2:$I$1264)</x:f>
        <x:v>4587.68</x:v>
      </x:c>
      <x:c r="D265" s="21" t="n">
        <x:f>COUNTIF('Pagantes'!$B$2:$B$268,A265)</x:f>
        <x:v>1</x:v>
      </x:c>
      <x:c r="E265" s="21" t="n">
        <x:f>SUMIF('Pagantes'!$B$2:$B$268,A265,'Pagantes'!$D$2:$D$268)</x:f>
        <x:v>4587.68</x:v>
      </x:c>
      <x:c r="F265" s="21" t="n">
        <x:f>SUMIFS('Pagantes'!$D$2:$D$268,'Pagantes'!$B$2:$B$268,A265,'Pagantes'!$E$2:$E$268,"&lt;&gt;Cancelado")</x:f>
        <x:v>4587.68</x:v>
      </x:c>
      <x:c r="G265" s="21" t="n">
        <x:f>E265-F265</x:f>
        <x:v>0</x:v>
      </x:c>
      <x:c r="H265" s="21" t="n">
        <x:f>ROUND(F265-C265,2)</x:f>
        <x:v>0</x:v>
      </x:c>
      <x:c r="I265" s="21" t="n">
        <x:f>ROUND(E265-C265,2)</x:f>
        <x:v>0</x:v>
      </x:c>
      <x:c r="J265" s="17" t="str">
        <x:f>IF(B265=0,"SEM SERVIÇO NA GERAL",IF(D265=0,"SEM PAGANTE NO ARQUIVO",IF(H265=0,"BATE",IF(H265&lt;0,"PAGANTES A MENOS","PAGANTES A MAIS"))))</x:f>
        <x:v>BATE</x:v>
      </x:c>
    </x:row>
    <x:row r="266" ht="15" hidden="0" customHeight="1">
      <x:c r="A266" s="17" t="str">
        <x:v>OP-1293</x:v>
      </x:c>
      <x:c r="B266" s="17" t="n">
        <x:f>COUNTIF('Serviços'!$B$2:$B$1264,A266)</x:f>
        <x:v>1</x:v>
      </x:c>
      <x:c r="C266" s="21" t="n">
        <x:f>SUMIF('Serviços'!$B$2:$B$1264,A266,'Serviços'!$I$2:$I$1264)</x:f>
        <x:v>635.56</x:v>
      </x:c>
      <x:c r="D266" s="21" t="n">
        <x:f>COUNTIF('Pagantes'!$B$2:$B$268,A266)</x:f>
        <x:v>1</x:v>
      </x:c>
      <x:c r="E266" s="21" t="n">
        <x:f>SUMIF('Pagantes'!$B$2:$B$268,A266,'Pagantes'!$D$2:$D$268)</x:f>
        <x:v>635.56</x:v>
      </x:c>
      <x:c r="F266" s="21" t="n">
        <x:f>SUMIFS('Pagantes'!$D$2:$D$268,'Pagantes'!$B$2:$B$268,A266,'Pagantes'!$E$2:$E$268,"&lt;&gt;Cancelado")</x:f>
        <x:v>635.56</x:v>
      </x:c>
      <x:c r="G266" s="21" t="n">
        <x:f>E266-F266</x:f>
        <x:v>0</x:v>
      </x:c>
      <x:c r="H266" s="21" t="n">
        <x:f>ROUND(F266-C266,2)</x:f>
        <x:v>0</x:v>
      </x:c>
      <x:c r="I266" s="21" t="n">
        <x:f>ROUND(E266-C266,2)</x:f>
        <x:v>0</x:v>
      </x:c>
      <x:c r="J266" s="17" t="str">
        <x:f>IF(B266=0,"SEM SERVIÇO NA GERAL",IF(D266=0,"SEM PAGANTE NO ARQUIVO",IF(H266=0,"BATE",IF(H266&lt;0,"PAGANTES A MENOS","PAGANTES A MAIS"))))</x:f>
        <x:v>BATE</x:v>
      </x:c>
    </x:row>
    <x:row r="267" ht="15" hidden="0" customHeight="1">
      <x:c r="A267" s="17" t="str">
        <x:v>OP-1294</x:v>
      </x:c>
      <x:c r="B267" s="17" t="n">
        <x:f>COUNTIF('Serviços'!$B$2:$B$1264,A267)</x:f>
        <x:v>2</x:v>
      </x:c>
      <x:c r="C267" s="21" t="n">
        <x:f>SUMIF('Serviços'!$B$2:$B$1264,A267,'Serviços'!$I$2:$I$1264)</x:f>
        <x:v>952.96</x:v>
      </x:c>
      <x:c r="D267" s="21" t="n">
        <x:f>COUNTIF('Pagantes'!$B$2:$B$268,A267)</x:f>
        <x:v>1</x:v>
      </x:c>
      <x:c r="E267" s="21" t="n">
        <x:f>SUMIF('Pagantes'!$B$2:$B$268,A267,'Pagantes'!$D$2:$D$268)</x:f>
        <x:v>952.96</x:v>
      </x:c>
      <x:c r="F267" s="21" t="n">
        <x:f>SUMIFS('Pagantes'!$D$2:$D$268,'Pagantes'!$B$2:$B$268,A267,'Pagantes'!$E$2:$E$268,"&lt;&gt;Cancelado")</x:f>
        <x:v>952.96</x:v>
      </x:c>
      <x:c r="G267" s="21" t="n">
        <x:f>E267-F267</x:f>
        <x:v>0</x:v>
      </x:c>
      <x:c r="H267" s="21" t="n">
        <x:f>ROUND(F267-C267,2)</x:f>
        <x:v>0</x:v>
      </x:c>
      <x:c r="I267" s="21" t="n">
        <x:f>ROUND(E267-C267,2)</x:f>
        <x:v>0</x:v>
      </x:c>
      <x:c r="J267" s="17" t="str">
        <x:f>IF(B267=0,"SEM SERVIÇO NA GERAL",IF(D267=0,"SEM PAGANTE NO ARQUIVO",IF(H267=0,"BATE",IF(H267&lt;0,"PAGANTES A MENOS","PAGANTES A MAIS"))))</x:f>
        <x:v>BATE</x:v>
      </x:c>
    </x:row>
    <x:row r="268" ht="15" hidden="0" customHeight="1">
      <x:c r="A268" s="17" t="str">
        <x:v>OP-1295</x:v>
      </x:c>
      <x:c r="B268" s="17" t="n">
        <x:f>COUNTIF('Serviços'!$B$2:$B$1264,A268)</x:f>
        <x:v>2</x:v>
      </x:c>
      <x:c r="C268" s="21" t="n">
        <x:f>SUMIF('Serviços'!$B$2:$B$1264,A268,'Serviços'!$I$2:$I$1264)</x:f>
        <x:v>1628.74</x:v>
      </x:c>
      <x:c r="D268" s="21" t="n">
        <x:f>COUNTIF('Pagantes'!$B$2:$B$268,A268)</x:f>
        <x:v>1</x:v>
      </x:c>
      <x:c r="E268" s="21" t="n">
        <x:f>SUMIF('Pagantes'!$B$2:$B$268,A268,'Pagantes'!$D$2:$D$268)</x:f>
        <x:v>1628.74</x:v>
      </x:c>
      <x:c r="F268" s="21" t="n">
        <x:f>SUMIFS('Pagantes'!$D$2:$D$268,'Pagantes'!$B$2:$B$268,A268,'Pagantes'!$E$2:$E$268,"&lt;&gt;Cancelado")</x:f>
        <x:v>1628.74</x:v>
      </x:c>
      <x:c r="G268" s="21" t="n">
        <x:f>E268-F268</x:f>
        <x:v>0</x:v>
      </x:c>
      <x:c r="H268" s="21" t="n">
        <x:f>ROUND(F268-C268,2)</x:f>
        <x:v>0</x:v>
      </x:c>
      <x:c r="I268" s="21" t="n">
        <x:f>ROUND(E268-C268,2)</x:f>
        <x:v>0</x:v>
      </x:c>
      <x:c r="J268" s="17" t="str">
        <x:f>IF(B268=0,"SEM SERVIÇO NA GERAL",IF(D268=0,"SEM PAGANTE NO ARQUIVO",IF(H268=0,"BATE",IF(H268&lt;0,"PAGANTES A MENOS","PAGANTES A MAIS"))))</x:f>
        <x:v>BATE</x:v>
      </x:c>
    </x:row>
    <x:row r="269" ht="15" hidden="0" customHeight="1">
      <x:c r="A269" s="17" t="str">
        <x:v>OP-1296</x:v>
      </x:c>
      <x:c r="B269" s="17" t="n">
        <x:f>COUNTIF('Serviços'!$B$2:$B$1264,A269)</x:f>
        <x:v>2</x:v>
      </x:c>
      <x:c r="C269" s="21" t="n">
        <x:f>SUMIF('Serviços'!$B$2:$B$1264,A269,'Serviços'!$I$2:$I$1264)</x:f>
        <x:v>958.94</x:v>
      </x:c>
      <x:c r="D269" s="21" t="n">
        <x:f>COUNTIF('Pagantes'!$B$2:$B$268,A269)</x:f>
        <x:v>2</x:v>
      </x:c>
      <x:c r="E269" s="21" t="n">
        <x:f>SUMIF('Pagantes'!$B$2:$B$268,A269,'Pagantes'!$D$2:$D$268)</x:f>
        <x:v>958.94</x:v>
      </x:c>
      <x:c r="F269" s="21" t="n">
        <x:f>SUMIFS('Pagantes'!$D$2:$D$268,'Pagantes'!$B$2:$B$268,A269,'Pagantes'!$E$2:$E$268,"&lt;&gt;Cancelado")</x:f>
        <x:v>958.94</x:v>
      </x:c>
      <x:c r="G269" s="21" t="n">
        <x:f>E269-F269</x:f>
        <x:v>0</x:v>
      </x:c>
      <x:c r="H269" s="21" t="n">
        <x:f>ROUND(F269-C269,2)</x:f>
        <x:v>0</x:v>
      </x:c>
      <x:c r="I269" s="21" t="n">
        <x:f>ROUND(E269-C269,2)</x:f>
        <x:v>0</x:v>
      </x:c>
      <x:c r="J269" s="17" t="str">
        <x:f>IF(B269=0,"SEM SERVIÇO NA GERAL",IF(D269=0,"SEM PAGANTE NO ARQUIVO",IF(H269=0,"BATE",IF(H269&lt;0,"PAGANTES A MENOS","PAGANTES A MAIS"))))</x:f>
        <x:v>BATE</x:v>
      </x:c>
    </x:row>
    <x:row r="270" ht="15" hidden="0" customHeight="1">
      <x:c r="A270" s="17" t="str">
        <x:v>OP-1297</x:v>
      </x:c>
      <x:c r="B270" s="17" t="n">
        <x:f>COUNTIF('Serviços'!$B$2:$B$1264,A270)</x:f>
        <x:v>2</x:v>
      </x:c>
      <x:c r="C270" s="21" t="n">
        <x:f>SUMIF('Serviços'!$B$2:$B$1264,A270,'Serviços'!$I$2:$I$1264)</x:f>
        <x:v>1008.86</x:v>
      </x:c>
      <x:c r="D270" s="21" t="n">
        <x:f>COUNTIF('Pagantes'!$B$2:$B$268,A270)</x:f>
        <x:v>2</x:v>
      </x:c>
      <x:c r="E270" s="21" t="n">
        <x:f>SUMIF('Pagantes'!$B$2:$B$268,A270,'Pagantes'!$D$2:$D$268)</x:f>
        <x:v>1008.86</x:v>
      </x:c>
      <x:c r="F270" s="21" t="n">
        <x:f>SUMIFS('Pagantes'!$D$2:$D$268,'Pagantes'!$B$2:$B$268,A270,'Pagantes'!$E$2:$E$268,"&lt;&gt;Cancelado")</x:f>
        <x:v>1008.86</x:v>
      </x:c>
      <x:c r="G270" s="21" t="n">
        <x:f>E270-F270</x:f>
        <x:v>0</x:v>
      </x:c>
      <x:c r="H270" s="21" t="n">
        <x:f>ROUND(F270-C270,2)</x:f>
        <x:v>0</x:v>
      </x:c>
      <x:c r="I270" s="21" t="n">
        <x:f>ROUND(E270-C270,2)</x:f>
        <x:v>0</x:v>
      </x:c>
      <x:c r="J270" s="17" t="str">
        <x:f>IF(B270=0,"SEM SERVIÇO NA GERAL",IF(D270=0,"SEM PAGANTE NO ARQUIVO",IF(H270=0,"BATE",IF(H270&lt;0,"PAGANTES A MENOS","PAGANTES A MAIS"))))</x:f>
        <x:v>BATE</x:v>
      </x:c>
    </x:row>
    <x:row r="271" ht="15" hidden="0" customHeight="1">
      <x:c r="A271" s="17" t="str">
        <x:v>OP-1298</x:v>
      </x:c>
      <x:c r="B271" s="17" t="n">
        <x:f>COUNTIF('Serviços'!$B$2:$B$1264,A271)</x:f>
        <x:v>2</x:v>
      </x:c>
      <x:c r="C271" s="21" t="n">
        <x:f>SUMIF('Serviços'!$B$2:$B$1264,A271,'Serviços'!$I$2:$I$1264)</x:f>
        <x:v>1050.72</x:v>
      </x:c>
      <x:c r="D271" s="21" t="n">
        <x:f>COUNTIF('Pagantes'!$B$2:$B$268,A271)</x:f>
        <x:v>1</x:v>
      </x:c>
      <x:c r="E271" s="21" t="n">
        <x:f>SUMIF('Pagantes'!$B$2:$B$268,A271,'Pagantes'!$D$2:$D$268)</x:f>
        <x:v>1050.72</x:v>
      </x:c>
      <x:c r="F271" s="21" t="n">
        <x:f>SUMIFS('Pagantes'!$D$2:$D$268,'Pagantes'!$B$2:$B$268,A271,'Pagantes'!$E$2:$E$268,"&lt;&gt;Cancelado")</x:f>
        <x:v>1050.72</x:v>
      </x:c>
      <x:c r="G271" s="21" t="n">
        <x:f>E271-F271</x:f>
        <x:v>0</x:v>
      </x:c>
      <x:c r="H271" s="21" t="n">
        <x:f>ROUND(F271-C271,2)</x:f>
        <x:v>0</x:v>
      </x:c>
      <x:c r="I271" s="21" t="n">
        <x:f>ROUND(E271-C271,2)</x:f>
        <x:v>0</x:v>
      </x:c>
      <x:c r="J271" s="17" t="str">
        <x:f>IF(B271=0,"SEM SERVIÇO NA GERAL",IF(D271=0,"SEM PAGANTE NO ARQUIVO",IF(H271=0,"BATE",IF(H271&lt;0,"PAGANTES A MENOS","PAGANTES A MAIS"))))</x:f>
        <x:v>BATE</x:v>
      </x:c>
    </x:row>
    <x:row r="272" ht="15" hidden="0" customHeight="1">
      <x:c r="A272" s="17" t="str">
        <x:v>OP-1299</x:v>
      </x:c>
      <x:c r="B272" s="17" t="n">
        <x:f>COUNTIF('Serviços'!$B$2:$B$1264,A272)</x:f>
        <x:v>2</x:v>
      </x:c>
      <x:c r="C272" s="21" t="n">
        <x:f>SUMIF('Serviços'!$B$2:$B$1264,A272,'Serviços'!$I$2:$I$1264)</x:f>
        <x:v>952.96</x:v>
      </x:c>
      <x:c r="D272" s="21" t="n">
        <x:f>COUNTIF('Pagantes'!$B$2:$B$268,A272)</x:f>
        <x:v>1</x:v>
      </x:c>
      <x:c r="E272" s="21" t="n">
        <x:f>SUMIF('Pagantes'!$B$2:$B$268,A272,'Pagantes'!$D$2:$D$268)</x:f>
        <x:v>952.96</x:v>
      </x:c>
      <x:c r="F272" s="21" t="n">
        <x:f>SUMIFS('Pagantes'!$D$2:$D$268,'Pagantes'!$B$2:$B$268,A272,'Pagantes'!$E$2:$E$268,"&lt;&gt;Cancelado")</x:f>
        <x:v>952.96</x:v>
      </x:c>
      <x:c r="G272" s="21" t="n">
        <x:f>E272-F272</x:f>
        <x:v>0</x:v>
      </x:c>
      <x:c r="H272" s="21" t="n">
        <x:f>ROUND(F272-C272,2)</x:f>
        <x:v>0</x:v>
      </x:c>
      <x:c r="I272" s="21" t="n">
        <x:f>ROUND(E272-C272,2)</x:f>
        <x:v>0</x:v>
      </x:c>
      <x:c r="J272" s="17" t="str">
        <x:f>IF(B272=0,"SEM SERVIÇO NA GERAL",IF(D272=0,"SEM PAGANTE NO ARQUIVO",IF(H272=0,"BATE",IF(H272&lt;0,"PAGANTES A MENOS","PAGANTES A MAIS"))))</x:f>
        <x:v>BATE</x:v>
      </x:c>
    </x:row>
    <x:row r="273" ht="15" hidden="0" customHeight="1">
      <x:c r="A273" s="17" t="str">
        <x:v>OP-1300</x:v>
      </x:c>
      <x:c r="B273" s="17" t="n">
        <x:f>COUNTIF('Serviços'!$B$2:$B$1264,A273)</x:f>
        <x:v>2</x:v>
      </x:c>
      <x:c r="C273" s="21" t="n">
        <x:f>SUMIF('Serviços'!$B$2:$B$1264,A273,'Serviços'!$I$2:$I$1264)</x:f>
        <x:v>895.4</x:v>
      </x:c>
      <x:c r="D273" s="21" t="n">
        <x:f>COUNTIF('Pagantes'!$B$2:$B$268,A273)</x:f>
        <x:v>1</x:v>
      </x:c>
      <x:c r="E273" s="21" t="n">
        <x:f>SUMIF('Pagantes'!$B$2:$B$268,A273,'Pagantes'!$D$2:$D$268)</x:f>
        <x:v>895.4</x:v>
      </x:c>
      <x:c r="F273" s="21" t="n">
        <x:f>SUMIFS('Pagantes'!$D$2:$D$268,'Pagantes'!$B$2:$B$268,A273,'Pagantes'!$E$2:$E$268,"&lt;&gt;Cancelado")</x:f>
        <x:v>895.4</x:v>
      </x:c>
      <x:c r="G273" s="21" t="n">
        <x:f>E273-F273</x:f>
        <x:v>0</x:v>
      </x:c>
      <x:c r="H273" s="21" t="n">
        <x:f>ROUND(F273-C273,2)</x:f>
        <x:v>0</x:v>
      </x:c>
      <x:c r="I273" s="21" t="n">
        <x:f>ROUND(E273-C273,2)</x:f>
        <x:v>0</x:v>
      </x:c>
      <x:c r="J273" s="17" t="str">
        <x:f>IF(B273=0,"SEM SERVIÇO NA GERAL",IF(D273=0,"SEM PAGANTE NO ARQUIVO",IF(H273=0,"BATE",IF(H273&lt;0,"PAGANTES A MENOS","PAGANTES A MAIS"))))</x:f>
        <x:v>BATE</x:v>
      </x:c>
    </x:row>
    <x:row r="274" ht="15" hidden="0" customHeight="1">
      <x:c r="A274" s="17" t="str">
        <x:v>OP-1301</x:v>
      </x:c>
      <x:c r="B274" s="17" t="n">
        <x:f>COUNTIF('Serviços'!$B$2:$B$1264,A274)</x:f>
        <x:v>2</x:v>
      </x:c>
      <x:c r="C274" s="21" t="n">
        <x:f>SUMIF('Serviços'!$B$2:$B$1264,A274,'Serviços'!$I$2:$I$1264)</x:f>
        <x:v>925.7</x:v>
      </x:c>
      <x:c r="D274" s="21" t="n">
        <x:f>COUNTIF('Pagantes'!$B$2:$B$268,A274)</x:f>
        <x:v>1</x:v>
      </x:c>
      <x:c r="E274" s="21" t="n">
        <x:f>SUMIF('Pagantes'!$B$2:$B$268,A274,'Pagantes'!$D$2:$D$268)</x:f>
        <x:v>925.7</x:v>
      </x:c>
      <x:c r="F274" s="21" t="n">
        <x:f>SUMIFS('Pagantes'!$D$2:$D$268,'Pagantes'!$B$2:$B$268,A274,'Pagantes'!$E$2:$E$268,"&lt;&gt;Cancelado")</x:f>
        <x:v>925.7</x:v>
      </x:c>
      <x:c r="G274" s="21" t="n">
        <x:f>E274-F274</x:f>
        <x:v>0</x:v>
      </x:c>
      <x:c r="H274" s="21" t="n">
        <x:f>ROUND(F274-C274,2)</x:f>
        <x:v>0</x:v>
      </x:c>
      <x:c r="I274" s="21" t="n">
        <x:f>ROUND(E274-C274,2)</x:f>
        <x:v>0</x:v>
      </x:c>
      <x:c r="J274" s="17" t="str">
        <x:f>IF(B274=0,"SEM SERVIÇO NA GERAL",IF(D274=0,"SEM PAGANTE NO ARQUIVO",IF(H274=0,"BATE",IF(H274&lt;0,"PAGANTES A MENOS","PAGANTES A MAIS"))))</x:f>
        <x:v>BATE</x:v>
      </x:c>
    </x:row>
    <x:row r="275" ht="15" hidden="0" customHeight="1">
      <x:c r="A275" s="17" t="str">
        <x:v>OP-1302</x:v>
      </x:c>
      <x:c r="B275" s="17" t="n">
        <x:f>COUNTIF('Serviços'!$B$2:$B$1264,A275)</x:f>
        <x:v>1</x:v>
      </x:c>
      <x:c r="C275" s="21" t="n">
        <x:f>SUMIF('Serviços'!$B$2:$B$1264,A275,'Serviços'!$I$2:$I$1264)</x:f>
        <x:v>718.25</x:v>
      </x:c>
      <x:c r="D275" s="21" t="n">
        <x:f>COUNTIF('Pagantes'!$B$2:$B$268,A275)</x:f>
        <x:v>1</x:v>
      </x:c>
      <x:c r="E275" s="21" t="n">
        <x:f>SUMIF('Pagantes'!$B$2:$B$268,A275,'Pagantes'!$D$2:$D$268)</x:f>
        <x:v>718.25</x:v>
      </x:c>
      <x:c r="F275" s="21" t="n">
        <x:f>SUMIFS('Pagantes'!$D$2:$D$268,'Pagantes'!$B$2:$B$268,A275,'Pagantes'!$E$2:$E$268,"&lt;&gt;Cancelado")</x:f>
        <x:v>718.25</x:v>
      </x:c>
      <x:c r="G275" s="21" t="n">
        <x:f>E275-F275</x:f>
        <x:v>0</x:v>
      </x:c>
      <x:c r="H275" s="21" t="n">
        <x:f>ROUND(F275-C275,2)</x:f>
        <x:v>0</x:v>
      </x:c>
      <x:c r="I275" s="21" t="n">
        <x:f>ROUND(E275-C275,2)</x:f>
        <x:v>0</x:v>
      </x:c>
      <x:c r="J275" s="17" t="str">
        <x:f>IF(B275=0,"SEM SERVIÇO NA GERAL",IF(D275=0,"SEM PAGANTE NO ARQUIVO",IF(H275=0,"BATE",IF(H275&lt;0,"PAGANTES A MENOS","PAGANTES A MAIS"))))</x:f>
        <x:v>BATE</x:v>
      </x:c>
    </x:row>
    <x:row r="276" ht="15" hidden="0" customHeight="1">
      <x:c r="A276" s="17" t="str">
        <x:v>OP-1303</x:v>
      </x:c>
      <x:c r="B276" s="17" t="n">
        <x:f>COUNTIF('Serviços'!$B$2:$B$1264,A276)</x:f>
        <x:v>4</x:v>
      </x:c>
      <x:c r="C276" s="21" t="n">
        <x:f>SUMIF('Serviços'!$B$2:$B$1264,A276,'Serviços'!$I$2:$I$1264)</x:f>
        <x:v>4984.030000000001</x:v>
      </x:c>
      <x:c r="D276" s="21" t="n">
        <x:f>COUNTIF('Pagantes'!$B$2:$B$268,A276)</x:f>
        <x:v>1</x:v>
      </x:c>
      <x:c r="E276" s="21" t="n">
        <x:f>SUMIF('Pagantes'!$B$2:$B$268,A276,'Pagantes'!$D$2:$D$268)</x:f>
        <x:v>4984.03</x:v>
      </x:c>
      <x:c r="F276" s="21" t="n">
        <x:f>SUMIFS('Pagantes'!$D$2:$D$268,'Pagantes'!$B$2:$B$268,A276,'Pagantes'!$E$2:$E$268,"&lt;&gt;Cancelado")</x:f>
        <x:v>4984.03</x:v>
      </x:c>
      <x:c r="G276" s="21" t="n">
        <x:f>E276-F276</x:f>
        <x:v>0</x:v>
      </x:c>
      <x:c r="H276" s="21" t="n">
        <x:f>ROUND(F276-C276,2)</x:f>
        <x:v>0</x:v>
      </x:c>
      <x:c r="I276" s="21" t="n">
        <x:f>ROUND(E276-C276,2)</x:f>
        <x:v>0</x:v>
      </x:c>
      <x:c r="J276" s="17" t="str">
        <x:f>IF(B276=0,"SEM SERVIÇO NA GERAL",IF(D276=0,"SEM PAGANTE NO ARQUIVO",IF(H276=0,"BATE",IF(H276&lt;0,"PAGANTES A MENOS","PAGANTES A MAIS"))))</x:f>
        <x:v>BATE</x:v>
      </x:c>
    </x:row>
    <x:row r="277" ht="15" hidden="0" customHeight="1">
      <x:c r="A277" s="17" t="str">
        <x:v>OP-1304</x:v>
      </x:c>
      <x:c r="B277" s="17" t="n">
        <x:f>COUNTIF('Serviços'!$B$2:$B$1264,A277)</x:f>
        <x:v>8</x:v>
      </x:c>
      <x:c r="C277" s="21" t="n">
        <x:f>SUMIF('Serviços'!$B$2:$B$1264,A277,'Serviços'!$I$2:$I$1264)</x:f>
        <x:v>4888.780000000001</x:v>
      </x:c>
      <x:c r="D277" s="21" t="n">
        <x:f>COUNTIF('Pagantes'!$B$2:$B$268,A277)</x:f>
        <x:v>0</x:v>
      </x:c>
      <x:c r="E277" s="21" t="n">
        <x:f>SUMIF('Pagantes'!$B$2:$B$268,A277,'Pagantes'!$D$2:$D$268)</x:f>
        <x:v>0</x:v>
      </x:c>
      <x:c r="F277" s="21" t="n">
        <x:f>SUMIFS('Pagantes'!$D$2:$D$268,'Pagantes'!$B$2:$B$268,A277,'Pagantes'!$E$2:$E$268,"&lt;&gt;Cancelado")</x:f>
        <x:v>0</x:v>
      </x:c>
      <x:c r="G277" s="21" t="n">
        <x:f>E277-F277</x:f>
        <x:v>0</x:v>
      </x:c>
      <x:c r="H277" s="21" t="n">
        <x:f>ROUND(F277-C277,2)</x:f>
        <x:v>-4888.78</x:v>
      </x:c>
      <x:c r="I277" s="21" t="n">
        <x:f>ROUND(E277-C277,2)</x:f>
        <x:v>-4888.78</x:v>
      </x:c>
      <x:c r="J277" s="17" t="str">
        <x:f>IF(B277=0,"SEM SERVIÇO NA GERAL",IF(D277=0,"SEM PAGANTE NO ARQUIVO",IF(H277=0,"BATE",IF(H277&lt;0,"PAGANTES A MENOS","PAGANTES A MAIS"))))</x:f>
        <x:v>SEM PAGANTE NO ARQUIVO</x:v>
      </x:c>
    </x:row>
    <x:row r="278" ht="15" hidden="0" customHeight="1">
      <x:c r="A278" s="17" t="str">
        <x:v>OP-1305</x:v>
      </x:c>
      <x:c r="B278" s="17" t="n">
        <x:f>COUNTIF('Serviços'!$B$2:$B$1264,A278)</x:f>
        <x:v>4</x:v>
      </x:c>
      <x:c r="C278" s="21" t="n">
        <x:f>SUMIF('Serviços'!$B$2:$B$1264,A278,'Serviços'!$I$2:$I$1264)</x:f>
        <x:v>3055.24</x:v>
      </x:c>
      <x:c r="D278" s="21" t="n">
        <x:f>COUNTIF('Pagantes'!$B$2:$B$268,A278)</x:f>
        <x:v>2</x:v>
      </x:c>
      <x:c r="E278" s="21" t="n">
        <x:f>SUMIF('Pagantes'!$B$2:$B$268,A278,'Pagantes'!$D$2:$D$268)</x:f>
        <x:v>3055.24</x:v>
      </x:c>
      <x:c r="F278" s="21" t="n">
        <x:f>SUMIFS('Pagantes'!$D$2:$D$268,'Pagantes'!$B$2:$B$268,A278,'Pagantes'!$E$2:$E$268,"&lt;&gt;Cancelado")</x:f>
        <x:v>3055.24</x:v>
      </x:c>
      <x:c r="G278" s="21" t="n">
        <x:f>E278-F278</x:f>
        <x:v>0</x:v>
      </x:c>
      <x:c r="H278" s="21" t="n">
        <x:f>ROUND(F278-C278,2)</x:f>
        <x:v>0</x:v>
      </x:c>
      <x:c r="I278" s="21" t="n">
        <x:f>ROUND(E278-C278,2)</x:f>
        <x:v>0</x:v>
      </x:c>
      <x:c r="J278" s="17" t="str">
        <x:f>IF(B278=0,"SEM SERVIÇO NA GERAL",IF(D278=0,"SEM PAGANTE NO ARQUIVO",IF(H278=0,"BATE",IF(H278&lt;0,"PAGANTES A MENOS","PAGANTES A MAIS"))))</x:f>
        <x:v>BATE</x:v>
      </x:c>
    </x:row>
    <x:row r="279" ht="15" hidden="0" customHeight="1">
      <x:c r="A279" s="17" t="str">
        <x:v>OP-1306</x:v>
      </x:c>
      <x:c r="B279" s="17" t="n">
        <x:f>COUNTIF('Serviços'!$B$2:$B$1264,A279)</x:f>
        <x:v>1</x:v>
      </x:c>
      <x:c r="C279" s="21" t="n">
        <x:f>SUMIF('Serviços'!$B$2:$B$1264,A279,'Serviços'!$I$2:$I$1264)</x:f>
        <x:v>350</x:v>
      </x:c>
      <x:c r="D279" s="21" t="n">
        <x:f>COUNTIF('Pagantes'!$B$2:$B$268,A279)</x:f>
        <x:v>1</x:v>
      </x:c>
      <x:c r="E279" s="21" t="n">
        <x:f>SUMIF('Pagantes'!$B$2:$B$268,A279,'Pagantes'!$D$2:$D$268)</x:f>
        <x:v>350</x:v>
      </x:c>
      <x:c r="F279" s="21" t="n">
        <x:f>SUMIFS('Pagantes'!$D$2:$D$268,'Pagantes'!$B$2:$B$268,A279,'Pagantes'!$E$2:$E$268,"&lt;&gt;Cancelado")</x:f>
        <x:v>350</x:v>
      </x:c>
      <x:c r="G279" s="21" t="n">
        <x:f>E279-F279</x:f>
        <x:v>0</x:v>
      </x:c>
      <x:c r="H279" s="21" t="n">
        <x:f>ROUND(F279-C279,2)</x:f>
        <x:v>0</x:v>
      </x:c>
      <x:c r="I279" s="21" t="n">
        <x:f>ROUND(E279-C279,2)</x:f>
        <x:v>0</x:v>
      </x:c>
      <x:c r="J279" s="17" t="str">
        <x:f>IF(B279=0,"SEM SERVIÇO NA GERAL",IF(D279=0,"SEM PAGANTE NO ARQUIVO",IF(H279=0,"BATE",IF(H279&lt;0,"PAGANTES A MENOS","PAGANTES A MAIS"))))</x:f>
        <x:v>BATE</x:v>
      </x:c>
    </x:row>
    <x:row r="280" ht="15" hidden="0" customHeight="1">
      <x:c r="A280" s="17" t="str">
        <x:v>OP-1307</x:v>
      </x:c>
      <x:c r="B280" s="17" t="n">
        <x:f>COUNTIF('Serviços'!$B$2:$B$1264,A280)</x:f>
        <x:v>2</x:v>
      </x:c>
      <x:c r="C280" s="21" t="n">
        <x:f>SUMIF('Serviços'!$B$2:$B$1264,A280,'Serviços'!$I$2:$I$1264)</x:f>
        <x:v>1090.54</x:v>
      </x:c>
      <x:c r="D280" s="21" t="n">
        <x:f>COUNTIF('Pagantes'!$B$2:$B$268,A280)</x:f>
        <x:v>2</x:v>
      </x:c>
      <x:c r="E280" s="21" t="n">
        <x:f>SUMIF('Pagantes'!$B$2:$B$268,A280,'Pagantes'!$D$2:$D$268)</x:f>
        <x:v>1090.54</x:v>
      </x:c>
      <x:c r="F280" s="21" t="n">
        <x:f>SUMIFS('Pagantes'!$D$2:$D$268,'Pagantes'!$B$2:$B$268,A280,'Pagantes'!$E$2:$E$268,"&lt;&gt;Cancelado")</x:f>
        <x:v>1090.54</x:v>
      </x:c>
      <x:c r="G280" s="21" t="n">
        <x:f>E280-F280</x:f>
        <x:v>0</x:v>
      </x:c>
      <x:c r="H280" s="21" t="n">
        <x:f>ROUND(F280-C280,2)</x:f>
        <x:v>0</x:v>
      </x:c>
      <x:c r="I280" s="21" t="n">
        <x:f>ROUND(E280-C280,2)</x:f>
        <x:v>0</x:v>
      </x:c>
      <x:c r="J280" s="17" t="str">
        <x:f>IF(B280=0,"SEM SERVIÇO NA GERAL",IF(D280=0,"SEM PAGANTE NO ARQUIVO",IF(H280=0,"BATE",IF(H280&lt;0,"PAGANTES A MENOS","PAGANTES A MAIS"))))</x:f>
        <x:v>BATE</x:v>
      </x:c>
    </x:row>
    <x:row r="281" ht="15" hidden="0" customHeight="1">
      <x:c r="A281" s="17" t="str">
        <x:v>OP-1308</x:v>
      </x:c>
      <x:c r="B281" s="17" t="n">
        <x:f>COUNTIF('Serviços'!$B$2:$B$1264,A281)</x:f>
        <x:v>2</x:v>
      </x:c>
      <x:c r="C281" s="21" t="n">
        <x:f>SUMIF('Serviços'!$B$2:$B$1264,A281,'Serviços'!$I$2:$I$1264)</x:f>
        <x:v>1273.98</x:v>
      </x:c>
      <x:c r="D281" s="21" t="n">
        <x:f>COUNTIF('Pagantes'!$B$2:$B$268,A281)</x:f>
        <x:v>1</x:v>
      </x:c>
      <x:c r="E281" s="21" t="n">
        <x:f>SUMIF('Pagantes'!$B$2:$B$268,A281,'Pagantes'!$D$2:$D$268)</x:f>
        <x:v>1273.98</x:v>
      </x:c>
      <x:c r="F281" s="21" t="n">
        <x:f>SUMIFS('Pagantes'!$D$2:$D$268,'Pagantes'!$B$2:$B$268,A281,'Pagantes'!$E$2:$E$268,"&lt;&gt;Cancelado")</x:f>
        <x:v>1273.98</x:v>
      </x:c>
      <x:c r="G281" s="21" t="n">
        <x:f>E281-F281</x:f>
        <x:v>0</x:v>
      </x:c>
      <x:c r="H281" s="21" t="n">
        <x:f>ROUND(F281-C281,2)</x:f>
        <x:v>0</x:v>
      </x:c>
      <x:c r="I281" s="21" t="n">
        <x:f>ROUND(E281-C281,2)</x:f>
        <x:v>0</x:v>
      </x:c>
      <x:c r="J281" s="17" t="str">
        <x:f>IF(B281=0,"SEM SERVIÇO NA GERAL",IF(D281=0,"SEM PAGANTE NO ARQUIVO",IF(H281=0,"BATE",IF(H281&lt;0,"PAGANTES A MENOS","PAGANTES A MAIS"))))</x:f>
        <x:v>BATE</x:v>
      </x:c>
    </x:row>
    <x:row r="282" ht="15" hidden="0" customHeight="1">
      <x:c r="A282" s="17" t="str">
        <x:v>OP-1309</x:v>
      </x:c>
      <x:c r="B282" s="17" t="n">
        <x:f>COUNTIF('Serviços'!$B$2:$B$1264,A282)</x:f>
        <x:v>1</x:v>
      </x:c>
      <x:c r="C282" s="21" t="n">
        <x:f>SUMIF('Serviços'!$B$2:$B$1264,A282,'Serviços'!$I$2:$I$1264)</x:f>
        <x:v>139.58</x:v>
      </x:c>
      <x:c r="D282" s="21" t="n">
        <x:f>COUNTIF('Pagantes'!$B$2:$B$268,A282)</x:f>
        <x:v>1</x:v>
      </x:c>
      <x:c r="E282" s="21" t="n">
        <x:f>SUMIF('Pagantes'!$B$2:$B$268,A282,'Pagantes'!$D$2:$D$268)</x:f>
        <x:v>139.58</x:v>
      </x:c>
      <x:c r="F282" s="21" t="n">
        <x:f>SUMIFS('Pagantes'!$D$2:$D$268,'Pagantes'!$B$2:$B$268,A282,'Pagantes'!$E$2:$E$268,"&lt;&gt;Cancelado")</x:f>
        <x:v>139.58</x:v>
      </x:c>
      <x:c r="G282" s="21" t="n">
        <x:f>E282-F282</x:f>
        <x:v>0</x:v>
      </x:c>
      <x:c r="H282" s="21" t="n">
        <x:f>ROUND(F282-C282,2)</x:f>
        <x:v>0</x:v>
      </x:c>
      <x:c r="I282" s="21" t="n">
        <x:f>ROUND(E282-C282,2)</x:f>
        <x:v>0</x:v>
      </x:c>
      <x:c r="J282" s="17" t="str">
        <x:f>IF(B282=0,"SEM SERVIÇO NA GERAL",IF(D282=0,"SEM PAGANTE NO ARQUIVO",IF(H282=0,"BATE",IF(H282&lt;0,"PAGANTES A MENOS","PAGANTES A MAIS"))))</x:f>
        <x:v>BATE</x:v>
      </x:c>
    </x:row>
    <x:row r="283" ht="15" hidden="0" customHeight="1">
      <x:c r="A283" s="17" t="str">
        <x:v>OP-1310</x:v>
      </x:c>
      <x:c r="B283" s="17" t="n">
        <x:f>COUNTIF('Serviços'!$B$2:$B$1264,A283)</x:f>
        <x:v>1</x:v>
      </x:c>
      <x:c r="C283" s="21" t="n">
        <x:f>SUMIF('Serviços'!$B$2:$B$1264,A283,'Serviços'!$I$2:$I$1264)</x:f>
        <x:v>1109.29</x:v>
      </x:c>
      <x:c r="D283" s="21" t="n">
        <x:f>COUNTIF('Pagantes'!$B$2:$B$268,A283)</x:f>
        <x:v>1</x:v>
      </x:c>
      <x:c r="E283" s="21" t="n">
        <x:f>SUMIF('Pagantes'!$B$2:$B$268,A283,'Pagantes'!$D$2:$D$268)</x:f>
        <x:v>1109.29</x:v>
      </x:c>
      <x:c r="F283" s="21" t="n">
        <x:f>SUMIFS('Pagantes'!$D$2:$D$268,'Pagantes'!$B$2:$B$268,A283,'Pagantes'!$E$2:$E$268,"&lt;&gt;Cancelado")</x:f>
        <x:v>1109.29</x:v>
      </x:c>
      <x:c r="G283" s="21" t="n">
        <x:f>E283-F283</x:f>
        <x:v>0</x:v>
      </x:c>
      <x:c r="H283" s="21" t="n">
        <x:f>ROUND(F283-C283,2)</x:f>
        <x:v>0</x:v>
      </x:c>
      <x:c r="I283" s="21" t="n">
        <x:f>ROUND(E283-C283,2)</x:f>
        <x:v>0</x:v>
      </x:c>
      <x:c r="J283" s="17" t="str">
        <x:f>IF(B283=0,"SEM SERVIÇO NA GERAL",IF(D283=0,"SEM PAGANTE NO ARQUIVO",IF(H283=0,"BATE",IF(H283&lt;0,"PAGANTES A MENOS","PAGANTES A MAIS"))))</x:f>
        <x:v>BATE</x:v>
      </x:c>
    </x:row>
    <x:row r="284" ht="15" hidden="0" customHeight="1">
      <x:c r="A284" s="17" t="str">
        <x:v>OP-1311</x:v>
      </x:c>
      <x:c r="B284" s="17" t="n">
        <x:f>COUNTIF('Serviços'!$B$2:$B$1264,A284)</x:f>
        <x:v>1</x:v>
      </x:c>
      <x:c r="C284" s="21" t="n">
        <x:f>SUMIF('Serviços'!$B$2:$B$1264,A284,'Serviços'!$I$2:$I$1264)</x:f>
        <x:v>1204.29</x:v>
      </x:c>
      <x:c r="D284" s="21" t="n">
        <x:f>COUNTIF('Pagantes'!$B$2:$B$268,A284)</x:f>
        <x:v>1</x:v>
      </x:c>
      <x:c r="E284" s="21" t="n">
        <x:f>SUMIF('Pagantes'!$B$2:$B$268,A284,'Pagantes'!$D$2:$D$268)</x:f>
        <x:v>1204.29</x:v>
      </x:c>
      <x:c r="F284" s="21" t="n">
        <x:f>SUMIFS('Pagantes'!$D$2:$D$268,'Pagantes'!$B$2:$B$268,A284,'Pagantes'!$E$2:$E$268,"&lt;&gt;Cancelado")</x:f>
        <x:v>1204.29</x:v>
      </x:c>
      <x:c r="G284" s="21" t="n">
        <x:f>E284-F284</x:f>
        <x:v>0</x:v>
      </x:c>
      <x:c r="H284" s="21" t="n">
        <x:f>ROUND(F284-C284,2)</x:f>
        <x:v>0</x:v>
      </x:c>
      <x:c r="I284" s="21" t="n">
        <x:f>ROUND(E284-C284,2)</x:f>
        <x:v>0</x:v>
      </x:c>
      <x:c r="J284" s="17" t="str">
        <x:f>IF(B284=0,"SEM SERVIÇO NA GERAL",IF(D284=0,"SEM PAGANTE NO ARQUIVO",IF(H284=0,"BATE",IF(H284&lt;0,"PAGANTES A MENOS","PAGANTES A MAIS"))))</x:f>
        <x:v>BATE</x:v>
      </x:c>
    </x:row>
    <x:row r="285" ht="15" hidden="0" customHeight="1">
      <x:c r="A285" s="17" t="str">
        <x:v>OP-1313</x:v>
      </x:c>
      <x:c r="B285" s="17" t="n">
        <x:f>COUNTIF('Serviços'!$B$2:$B$1264,A285)</x:f>
        <x:v>1</x:v>
      </x:c>
      <x:c r="C285" s="21" t="n">
        <x:f>SUMIF('Serviços'!$B$2:$B$1264,A285,'Serviços'!$I$2:$I$1264)</x:f>
        <x:v>1290.69</x:v>
      </x:c>
      <x:c r="D285" s="21" t="n">
        <x:f>COUNTIF('Pagantes'!$B$2:$B$268,A285)</x:f>
        <x:v>1</x:v>
      </x:c>
      <x:c r="E285" s="21" t="n">
        <x:f>SUMIF('Pagantes'!$B$2:$B$268,A285,'Pagantes'!$D$2:$D$268)</x:f>
        <x:v>1290.69</x:v>
      </x:c>
      <x:c r="F285" s="21" t="n">
        <x:f>SUMIFS('Pagantes'!$D$2:$D$268,'Pagantes'!$B$2:$B$268,A285,'Pagantes'!$E$2:$E$268,"&lt;&gt;Cancelado")</x:f>
        <x:v>1290.69</x:v>
      </x:c>
      <x:c r="G285" s="21" t="n">
        <x:f>E285-F285</x:f>
        <x:v>0</x:v>
      </x:c>
      <x:c r="H285" s="21" t="n">
        <x:f>ROUND(F285-C285,2)</x:f>
        <x:v>0</x:v>
      </x:c>
      <x:c r="I285" s="21" t="n">
        <x:f>ROUND(E285-C285,2)</x:f>
        <x:v>0</x:v>
      </x:c>
      <x:c r="J285" s="17" t="str">
        <x:f>IF(B285=0,"SEM SERVIÇO NA GERAL",IF(D285=0,"SEM PAGANTE NO ARQUIVO",IF(H285=0,"BATE",IF(H285&lt;0,"PAGANTES A MENOS","PAGANTES A MAIS"))))</x:f>
        <x:v>BATE</x:v>
      </x:c>
    </x:row>
    <x:row r="286" ht="15" hidden="0" customHeight="1">
      <x:c r="A286" s="17" t="str">
        <x:v>OP-1314</x:v>
      </x:c>
      <x:c r="B286" s="17" t="n">
        <x:f>COUNTIF('Serviços'!$B$2:$B$1264,A286)</x:f>
        <x:v>1</x:v>
      </x:c>
      <x:c r="C286" s="21" t="n">
        <x:f>SUMIF('Serviços'!$B$2:$B$1264,A286,'Serviços'!$I$2:$I$1264)</x:f>
        <x:v>1056.24</x:v>
      </x:c>
      <x:c r="D286" s="21" t="n">
        <x:f>COUNTIF('Pagantes'!$B$2:$B$268,A286)</x:f>
        <x:v>1</x:v>
      </x:c>
      <x:c r="E286" s="21" t="n">
        <x:f>SUMIF('Pagantes'!$B$2:$B$268,A286,'Pagantes'!$D$2:$D$268)</x:f>
        <x:v>1056.24</x:v>
      </x:c>
      <x:c r="F286" s="21" t="n">
        <x:f>SUMIFS('Pagantes'!$D$2:$D$268,'Pagantes'!$B$2:$B$268,A286,'Pagantes'!$E$2:$E$268,"&lt;&gt;Cancelado")</x:f>
        <x:v>1056.24</x:v>
      </x:c>
      <x:c r="G286" s="21" t="n">
        <x:f>E286-F286</x:f>
        <x:v>0</x:v>
      </x:c>
      <x:c r="H286" s="21" t="n">
        <x:f>ROUND(F286-C286,2)</x:f>
        <x:v>0</x:v>
      </x:c>
      <x:c r="I286" s="21" t="n">
        <x:f>ROUND(E286-C286,2)</x:f>
        <x:v>0</x:v>
      </x:c>
      <x:c r="J286" s="17" t="str">
        <x:f>IF(B286=0,"SEM SERVIÇO NA GERAL",IF(D286=0,"SEM PAGANTE NO ARQUIVO",IF(H286=0,"BATE",IF(H286&lt;0,"PAGANTES A MENOS","PAGANTES A MAIS"))))</x:f>
        <x:v>BATE</x:v>
      </x:c>
    </x:row>
    <x:row r="287" ht="15" hidden="0" customHeight="1">
      <x:c r="A287" s="17" t="str">
        <x:v>OP-1315</x:v>
      </x:c>
      <x:c r="B287" s="17" t="n">
        <x:f>COUNTIF('Serviços'!$B$2:$B$1264,A287)</x:f>
        <x:v>1</x:v>
      </x:c>
      <x:c r="C287" s="21" t="n">
        <x:f>SUMIF('Serviços'!$B$2:$B$1264,A287,'Serviços'!$I$2:$I$1264)</x:f>
        <x:v>2590</x:v>
      </x:c>
      <x:c r="D287" s="21" t="n">
        <x:f>COUNTIF('Pagantes'!$B$2:$B$268,A287)</x:f>
        <x:v>1</x:v>
      </x:c>
      <x:c r="E287" s="21" t="n">
        <x:f>SUMIF('Pagantes'!$B$2:$B$268,A287,'Pagantes'!$D$2:$D$268)</x:f>
        <x:v>2590</x:v>
      </x:c>
      <x:c r="F287" s="21" t="n">
        <x:f>SUMIFS('Pagantes'!$D$2:$D$268,'Pagantes'!$B$2:$B$268,A287,'Pagantes'!$E$2:$E$268,"&lt;&gt;Cancelado")</x:f>
        <x:v>2590</x:v>
      </x:c>
      <x:c r="G287" s="21" t="n">
        <x:f>E287-F287</x:f>
        <x:v>0</x:v>
      </x:c>
      <x:c r="H287" s="21" t="n">
        <x:f>ROUND(F287-C287,2)</x:f>
        <x:v>0</x:v>
      </x:c>
      <x:c r="I287" s="21" t="n">
        <x:f>ROUND(E287-C287,2)</x:f>
        <x:v>0</x:v>
      </x:c>
      <x:c r="J287" s="17" t="str">
        <x:f>IF(B287=0,"SEM SERVIÇO NA GERAL",IF(D287=0,"SEM PAGANTE NO ARQUIVO",IF(H287=0,"BATE",IF(H287&lt;0,"PAGANTES A MENOS","PAGANTES A MAIS"))))</x:f>
        <x:v>BATE</x:v>
      </x:c>
    </x:row>
    <x:row r="288" ht="15" hidden="0" customHeight="1">
      <x:c r="A288" s="17" t="str">
        <x:v>OP-1316</x:v>
      </x:c>
      <x:c r="B288" s="17" t="n">
        <x:f>COUNTIF('Serviços'!$B$2:$B$1264,A288)</x:f>
        <x:v>1</x:v>
      </x:c>
      <x:c r="C288" s="21" t="n">
        <x:f>SUMIF('Serviços'!$B$2:$B$1264,A288,'Serviços'!$I$2:$I$1264)</x:f>
        <x:v>1360</x:v>
      </x:c>
      <x:c r="D288" s="21" t="n">
        <x:f>COUNTIF('Pagantes'!$B$2:$B$268,A288)</x:f>
        <x:v>1</x:v>
      </x:c>
      <x:c r="E288" s="21" t="n">
        <x:f>SUMIF('Pagantes'!$B$2:$B$268,A288,'Pagantes'!$D$2:$D$268)</x:f>
        <x:v>304</x:v>
      </x:c>
      <x:c r="F288" s="21" t="n">
        <x:f>SUMIFS('Pagantes'!$D$2:$D$268,'Pagantes'!$B$2:$B$268,A288,'Pagantes'!$E$2:$E$268,"&lt;&gt;Cancelado")</x:f>
        <x:v>304</x:v>
      </x:c>
      <x:c r="G288" s="21" t="n">
        <x:f>E288-F288</x:f>
        <x:v>0</x:v>
      </x:c>
      <x:c r="H288" s="21" t="n">
        <x:f>ROUND(F288-C288,2)</x:f>
        <x:v>-1056</x:v>
      </x:c>
      <x:c r="I288" s="21" t="n">
        <x:f>ROUND(E288-C288,2)</x:f>
        <x:v>-1056</x:v>
      </x:c>
      <x:c r="J288" s="17" t="str">
        <x:f>IF(B288=0,"SEM SERVIÇO NA GERAL",IF(D288=0,"SEM PAGANTE NO ARQUIVO",IF(H288=0,"BATE",IF(H288&lt;0,"PAGANTES A MENOS","PAGANTES A MAIS"))))</x:f>
        <x:v>PAGANTES A MENOS</x:v>
      </x:c>
    </x:row>
    <x:row r="289" ht="15" hidden="0" customHeight="1">
      <x:c r="A289" s="17" t="str">
        <x:v>OP-1317</x:v>
      </x:c>
      <x:c r="B289" s="17" t="n">
        <x:f>COUNTIF('Serviços'!$B$2:$B$1264,A289)</x:f>
        <x:v>6</x:v>
      </x:c>
      <x:c r="C289" s="21" t="n">
        <x:f>SUMIF('Serviços'!$B$2:$B$1264,A289,'Serviços'!$I$2:$I$1264)</x:f>
        <x:v>15540</x:v>
      </x:c>
      <x:c r="D289" s="21" t="n">
        <x:f>COUNTIF('Pagantes'!$B$2:$B$268,A289)</x:f>
        <x:v>0</x:v>
      </x:c>
      <x:c r="E289" s="21" t="n">
        <x:f>SUMIF('Pagantes'!$B$2:$B$268,A289,'Pagantes'!$D$2:$D$268)</x:f>
        <x:v>0</x:v>
      </x:c>
      <x:c r="F289" s="21" t="n">
        <x:f>SUMIFS('Pagantes'!$D$2:$D$268,'Pagantes'!$B$2:$B$268,A289,'Pagantes'!$E$2:$E$268,"&lt;&gt;Cancelado")</x:f>
        <x:v>0</x:v>
      </x:c>
      <x:c r="G289" s="21" t="n">
        <x:f>E289-F289</x:f>
        <x:v>0</x:v>
      </x:c>
      <x:c r="H289" s="21" t="n">
        <x:f>ROUND(F289-C289,2)</x:f>
        <x:v>-15540</x:v>
      </x:c>
      <x:c r="I289" s="21" t="n">
        <x:f>ROUND(E289-C289,2)</x:f>
        <x:v>-15540</x:v>
      </x:c>
      <x:c r="J289" s="17" t="str">
        <x:f>IF(B289=0,"SEM SERVIÇO NA GERAL",IF(D289=0,"SEM PAGANTE NO ARQUIVO",IF(H289=0,"BATE",IF(H289&lt;0,"PAGANTES A MENOS","PAGANTES A MAIS"))))</x:f>
        <x:v>SEM PAGANTE NO ARQUIVO</x:v>
      </x:c>
    </x:row>
    <x:row r="290" ht="15" hidden="0" customHeight="1">
      <x:c r="A290" s="17" t="str">
        <x:v>OP-1318</x:v>
      </x:c>
      <x:c r="B290" s="17" t="n">
        <x:f>COUNTIF('Serviços'!$B$2:$B$1264,A290)</x:f>
        <x:v>1</x:v>
      </x:c>
      <x:c r="C290" s="21" t="n">
        <x:f>SUMIF('Serviços'!$B$2:$B$1264,A290,'Serviços'!$I$2:$I$1264)</x:f>
        <x:v>962.65</x:v>
      </x:c>
      <x:c r="D290" s="21" t="n">
        <x:f>COUNTIF('Pagantes'!$B$2:$B$268,A290)</x:f>
        <x:v>1</x:v>
      </x:c>
      <x:c r="E290" s="21" t="n">
        <x:f>SUMIF('Pagantes'!$B$2:$B$268,A290,'Pagantes'!$D$2:$D$268)</x:f>
        <x:v>962.65</x:v>
      </x:c>
      <x:c r="F290" s="21" t="n">
        <x:f>SUMIFS('Pagantes'!$D$2:$D$268,'Pagantes'!$B$2:$B$268,A290,'Pagantes'!$E$2:$E$268,"&lt;&gt;Cancelado")</x:f>
        <x:v>962.65</x:v>
      </x:c>
      <x:c r="G290" s="21" t="n">
        <x:f>E290-F290</x:f>
        <x:v>0</x:v>
      </x:c>
      <x:c r="H290" s="21" t="n">
        <x:f>ROUND(F290-C290,2)</x:f>
        <x:v>0</x:v>
      </x:c>
      <x:c r="I290" s="21" t="n">
        <x:f>ROUND(E290-C290,2)</x:f>
        <x:v>0</x:v>
      </x:c>
      <x:c r="J290" s="17" t="str">
        <x:f>IF(B290=0,"SEM SERVIÇO NA GERAL",IF(D290=0,"SEM PAGANTE NO ARQUIVO",IF(H290=0,"BATE",IF(H290&lt;0,"PAGANTES A MENOS","PAGANTES A MAIS"))))</x:f>
        <x:v>BATE</x:v>
      </x:c>
    </x:row>
    <x:row r="291" ht="15" hidden="0" customHeight="1">
      <x:c r="A291" s="17" t="str">
        <x:v>OP-1319</x:v>
      </x:c>
      <x:c r="B291" s="17" t="n">
        <x:f>COUNTIF('Serviços'!$B$2:$B$1264,A291)</x:f>
        <x:v>2</x:v>
      </x:c>
      <x:c r="C291" s="21" t="n">
        <x:f>SUMIF('Serviços'!$B$2:$B$1264,A291,'Serviços'!$I$2:$I$1264)</x:f>
        <x:v>952.96</x:v>
      </x:c>
      <x:c r="D291" s="21" t="n">
        <x:f>COUNTIF('Pagantes'!$B$2:$B$268,A291)</x:f>
        <x:v>1</x:v>
      </x:c>
      <x:c r="E291" s="21" t="n">
        <x:f>SUMIF('Pagantes'!$B$2:$B$268,A291,'Pagantes'!$D$2:$D$268)</x:f>
        <x:v>952.96</x:v>
      </x:c>
      <x:c r="F291" s="21" t="n">
        <x:f>SUMIFS('Pagantes'!$D$2:$D$268,'Pagantes'!$B$2:$B$268,A291,'Pagantes'!$E$2:$E$268,"&lt;&gt;Cancelado")</x:f>
        <x:v>952.96</x:v>
      </x:c>
      <x:c r="G291" s="21" t="n">
        <x:f>E291-F291</x:f>
        <x:v>0</x:v>
      </x:c>
      <x:c r="H291" s="21" t="n">
        <x:f>ROUND(F291-C291,2)</x:f>
        <x:v>0</x:v>
      </x:c>
      <x:c r="I291" s="21" t="n">
        <x:f>ROUND(E291-C291,2)</x:f>
        <x:v>0</x:v>
      </x:c>
      <x:c r="J291" s="17" t="str">
        <x:f>IF(B291=0,"SEM SERVIÇO NA GERAL",IF(D291=0,"SEM PAGANTE NO ARQUIVO",IF(H291=0,"BATE",IF(H291&lt;0,"PAGANTES A MENOS","PAGANTES A MAIS"))))</x:f>
        <x:v>BATE</x:v>
      </x:c>
    </x:row>
    <x:row r="292" ht="15" hidden="0" customHeight="1">
      <x:c r="A292" s="17" t="str">
        <x:v>OP-1320</x:v>
      </x:c>
      <x:c r="B292" s="17" t="n">
        <x:f>COUNTIF('Serviços'!$B$2:$B$1264,A292)</x:f>
        <x:v>9</x:v>
      </x:c>
      <x:c r="C292" s="21" t="n">
        <x:f>SUMIF('Serviços'!$B$2:$B$1264,A292,'Serviços'!$I$2:$I$1264)</x:f>
        <x:v>4958.280000000001</x:v>
      </x:c>
      <x:c r="D292" s="21" t="n">
        <x:f>COUNTIF('Pagantes'!$B$2:$B$268,A292)</x:f>
        <x:v>1</x:v>
      </x:c>
      <x:c r="E292" s="21" t="n">
        <x:f>SUMIF('Pagantes'!$B$2:$B$268,A292,'Pagantes'!$D$2:$D$268)</x:f>
        <x:v>4958.28</x:v>
      </x:c>
      <x:c r="F292" s="21" t="n">
        <x:f>SUMIFS('Pagantes'!$D$2:$D$268,'Pagantes'!$B$2:$B$268,A292,'Pagantes'!$E$2:$E$268,"&lt;&gt;Cancelado")</x:f>
        <x:v>4958.28</x:v>
      </x:c>
      <x:c r="G292" s="21" t="n">
        <x:f>E292-F292</x:f>
        <x:v>0</x:v>
      </x:c>
      <x:c r="H292" s="21" t="n">
        <x:f>ROUND(F292-C292,2)</x:f>
        <x:v>0</x:v>
      </x:c>
      <x:c r="I292" s="21" t="n">
        <x:f>ROUND(E292-C292,2)</x:f>
        <x:v>0</x:v>
      </x:c>
      <x:c r="J292" s="17" t="str">
        <x:f>IF(B292=0,"SEM SERVIÇO NA GERAL",IF(D292=0,"SEM PAGANTE NO ARQUIVO",IF(H292=0,"BATE",IF(H292&lt;0,"PAGANTES A MENOS","PAGANTES A MAIS"))))</x:f>
        <x:v>BATE</x:v>
      </x:c>
    </x:row>
    <x:row r="293" ht="15" hidden="0" customHeight="1">
      <x:c r="A293" s="17" t="str">
        <x:v>OP-1321</x:v>
      </x:c>
      <x:c r="B293" s="17" t="n">
        <x:f>COUNTIF('Serviços'!$B$2:$B$1264,A293)</x:f>
        <x:v>2</x:v>
      </x:c>
      <x:c r="C293" s="21" t="n">
        <x:f>SUMIF('Serviços'!$B$2:$B$1264,A293,'Serviços'!$I$2:$I$1264)</x:f>
        <x:v>1050.72</x:v>
      </x:c>
      <x:c r="D293" s="21" t="n">
        <x:f>COUNTIF('Pagantes'!$B$2:$B$268,A293)</x:f>
        <x:v>1</x:v>
      </x:c>
      <x:c r="E293" s="21" t="n">
        <x:f>SUMIF('Pagantes'!$B$2:$B$268,A293,'Pagantes'!$D$2:$D$268)</x:f>
        <x:v>1050.72</x:v>
      </x:c>
      <x:c r="F293" s="21" t="n">
        <x:f>SUMIFS('Pagantes'!$D$2:$D$268,'Pagantes'!$B$2:$B$268,A293,'Pagantes'!$E$2:$E$268,"&lt;&gt;Cancelado")</x:f>
        <x:v>1050.72</x:v>
      </x:c>
      <x:c r="G293" s="21" t="n">
        <x:f>E293-F293</x:f>
        <x:v>0</x:v>
      </x:c>
      <x:c r="H293" s="21" t="n">
        <x:f>ROUND(F293-C293,2)</x:f>
        <x:v>0</x:v>
      </x:c>
      <x:c r="I293" s="21" t="n">
        <x:f>ROUND(E293-C293,2)</x:f>
        <x:v>0</x:v>
      </x:c>
      <x:c r="J293" s="17" t="str">
        <x:f>IF(B293=0,"SEM SERVIÇO NA GERAL",IF(D293=0,"SEM PAGANTE NO ARQUIVO",IF(H293=0,"BATE",IF(H293&lt;0,"PAGANTES A MENOS","PAGANTES A MAIS"))))</x:f>
        <x:v>BATE</x:v>
      </x:c>
    </x:row>
    <x:row r="294" ht="15" hidden="0" customHeight="1">
      <x:c r="A294" s="17" t="str">
        <x:v>OP-1322</x:v>
      </x:c>
      <x:c r="B294" s="17" t="n">
        <x:f>COUNTIF('Serviços'!$B$2:$B$1264,A294)</x:f>
        <x:v>1</x:v>
      </x:c>
      <x:c r="C294" s="21" t="n">
        <x:f>SUMIF('Serviços'!$B$2:$B$1264,A294,'Serviços'!$I$2:$I$1264)</x:f>
        <x:v>1332.55</x:v>
      </x:c>
      <x:c r="D294" s="21" t="n">
        <x:f>COUNTIF('Pagantes'!$B$2:$B$268,A294)</x:f>
        <x:v>1</x:v>
      </x:c>
      <x:c r="E294" s="21" t="n">
        <x:f>SUMIF('Pagantes'!$B$2:$B$268,A294,'Pagantes'!$D$2:$D$268)</x:f>
        <x:v>1332.55</x:v>
      </x:c>
      <x:c r="F294" s="21" t="n">
        <x:f>SUMIFS('Pagantes'!$D$2:$D$268,'Pagantes'!$B$2:$B$268,A294,'Pagantes'!$E$2:$E$268,"&lt;&gt;Cancelado")</x:f>
        <x:v>1332.55</x:v>
      </x:c>
      <x:c r="G294" s="21" t="n">
        <x:f>E294-F294</x:f>
        <x:v>0</x:v>
      </x:c>
      <x:c r="H294" s="21" t="n">
        <x:f>ROUND(F294-C294,2)</x:f>
        <x:v>0</x:v>
      </x:c>
      <x:c r="I294" s="21" t="n">
        <x:f>ROUND(E294-C294,2)</x:f>
        <x:v>0</x:v>
      </x:c>
      <x:c r="J294" s="17" t="str">
        <x:f>IF(B294=0,"SEM SERVIÇO NA GERAL",IF(D294=0,"SEM PAGANTE NO ARQUIVO",IF(H294=0,"BATE",IF(H294&lt;0,"PAGANTES A MENOS","PAGANTES A MAIS"))))</x:f>
        <x:v>BATE</x:v>
      </x:c>
    </x:row>
    <x:row r="295" ht="15" hidden="0" customHeight="1">
      <x:c r="A295" s="17" t="str">
        <x:v>OP-1323</x:v>
      </x:c>
      <x:c r="B295" s="17" t="n">
        <x:f>COUNTIF('Serviços'!$B$2:$B$1264,A295)</x:f>
        <x:v>2</x:v>
      </x:c>
      <x:c r="C295" s="21" t="n">
        <x:f>SUMIF('Serviços'!$B$2:$B$1264,A295,'Serviços'!$I$2:$I$1264)</x:f>
        <x:v>837.21</x:v>
      </x:c>
      <x:c r="D295" s="21" t="n">
        <x:f>COUNTIF('Pagantes'!$B$2:$B$268,A295)</x:f>
        <x:v>1</x:v>
      </x:c>
      <x:c r="E295" s="21" t="n">
        <x:f>SUMIF('Pagantes'!$B$2:$B$268,A295,'Pagantes'!$D$2:$D$268)</x:f>
        <x:v>837.21</x:v>
      </x:c>
      <x:c r="F295" s="21" t="n">
        <x:f>SUMIFS('Pagantes'!$D$2:$D$268,'Pagantes'!$B$2:$B$268,A295,'Pagantes'!$E$2:$E$268,"&lt;&gt;Cancelado")</x:f>
        <x:v>837.21</x:v>
      </x:c>
      <x:c r="G295" s="21" t="n">
        <x:f>E295-F295</x:f>
        <x:v>0</x:v>
      </x:c>
      <x:c r="H295" s="21" t="n">
        <x:f>ROUND(F295-C295,2)</x:f>
        <x:v>0</x:v>
      </x:c>
      <x:c r="I295" s="21" t="n">
        <x:f>ROUND(E295-C295,2)</x:f>
        <x:v>0</x:v>
      </x:c>
      <x:c r="J295" s="17" t="str">
        <x:f>IF(B295=0,"SEM SERVIÇO NA GERAL",IF(D295=0,"SEM PAGANTE NO ARQUIVO",IF(H295=0,"BATE",IF(H295&lt;0,"PAGANTES A MENOS","PAGANTES A MAIS"))))</x:f>
        <x:v>BATE</x:v>
      </x:c>
    </x:row>
    <x:row r="296" ht="15" hidden="0" customHeight="1">
      <x:c r="A296" s="17" t="str">
        <x:v>OP-1324</x:v>
      </x:c>
      <x:c r="B296" s="17" t="n">
        <x:f>COUNTIF('Serviços'!$B$2:$B$1264,A296)</x:f>
        <x:v>2</x:v>
      </x:c>
      <x:c r="C296" s="21" t="n">
        <x:f>SUMIF('Serviços'!$B$2:$B$1264,A296,'Serviços'!$I$2:$I$1264)</x:f>
        <x:v>1232.12</x:v>
      </x:c>
      <x:c r="D296" s="21" t="n">
        <x:f>COUNTIF('Pagantes'!$B$2:$B$268,A296)</x:f>
        <x:v>1</x:v>
      </x:c>
      <x:c r="E296" s="21" t="n">
        <x:f>SUMIF('Pagantes'!$B$2:$B$268,A296,'Pagantes'!$D$2:$D$268)</x:f>
        <x:v>1232.12</x:v>
      </x:c>
      <x:c r="F296" s="21" t="n">
        <x:f>SUMIFS('Pagantes'!$D$2:$D$268,'Pagantes'!$B$2:$B$268,A296,'Pagantes'!$E$2:$E$268,"&lt;&gt;Cancelado")</x:f>
        <x:v>1232.12</x:v>
      </x:c>
      <x:c r="G296" s="21" t="n">
        <x:f>E296-F296</x:f>
        <x:v>0</x:v>
      </x:c>
      <x:c r="H296" s="21" t="n">
        <x:f>ROUND(F296-C296,2)</x:f>
        <x:v>0</x:v>
      </x:c>
      <x:c r="I296" s="21" t="n">
        <x:f>ROUND(E296-C296,2)</x:f>
        <x:v>0</x:v>
      </x:c>
      <x:c r="J296" s="17" t="str">
        <x:f>IF(B296=0,"SEM SERVIÇO NA GERAL",IF(D296=0,"SEM PAGANTE NO ARQUIVO",IF(H296=0,"BATE",IF(H296&lt;0,"PAGANTES A MENOS","PAGANTES A MAIS"))))</x:f>
        <x:v>BATE</x:v>
      </x:c>
    </x:row>
    <x:row r="297" ht="15" hidden="0" customHeight="1">
      <x:c r="A297" s="17" t="str">
        <x:v>OP-1325</x:v>
      </x:c>
      <x:c r="B297" s="17" t="n">
        <x:f>COUNTIF('Serviços'!$B$2:$B$1264,A297)</x:f>
        <x:v>2</x:v>
      </x:c>
      <x:c r="C297" s="21" t="n">
        <x:f>SUMIF('Serviços'!$B$2:$B$1264,A297,'Serviços'!$I$2:$I$1264)</x:f>
        <x:v>967.6600000000001</x:v>
      </x:c>
      <x:c r="D297" s="21" t="n">
        <x:f>COUNTIF('Pagantes'!$B$2:$B$268,A297)</x:f>
        <x:v>1</x:v>
      </x:c>
      <x:c r="E297" s="21" t="n">
        <x:f>SUMIF('Pagantes'!$B$2:$B$268,A297,'Pagantes'!$D$2:$D$268)</x:f>
        <x:v>967.66</x:v>
      </x:c>
      <x:c r="F297" s="21" t="n">
        <x:f>SUMIFS('Pagantes'!$D$2:$D$268,'Pagantes'!$B$2:$B$268,A297,'Pagantes'!$E$2:$E$268,"&lt;&gt;Cancelado")</x:f>
        <x:v>967.66</x:v>
      </x:c>
      <x:c r="G297" s="21" t="n">
        <x:f>E297-F297</x:f>
        <x:v>0</x:v>
      </x:c>
      <x:c r="H297" s="21" t="n">
        <x:f>ROUND(F297-C297,2)</x:f>
        <x:v>0</x:v>
      </x:c>
      <x:c r="I297" s="21" t="n">
        <x:f>ROUND(E297-C297,2)</x:f>
        <x:v>0</x:v>
      </x:c>
      <x:c r="J297" s="17" t="str">
        <x:f>IF(B297=0,"SEM SERVIÇO NA GERAL",IF(D297=0,"SEM PAGANTE NO ARQUIVO",IF(H297=0,"BATE",IF(H297&lt;0,"PAGANTES A MENOS","PAGANTES A MAIS"))))</x:f>
        <x:v>BATE</x:v>
      </x:c>
    </x:row>
    <x:row r="298" ht="15" hidden="0" customHeight="1">
      <x:c r="A298" s="17" t="str">
        <x:v>OP-1326</x:v>
      </x:c>
      <x:c r="B298" s="17" t="n">
        <x:f>COUNTIF('Serviços'!$B$2:$B$1264,A298)</x:f>
        <x:v>2</x:v>
      </x:c>
      <x:c r="C298" s="21" t="n">
        <x:f>SUMIF('Serviços'!$B$2:$B$1264,A298,'Serviços'!$I$2:$I$1264)</x:f>
        <x:v>925.7</x:v>
      </x:c>
      <x:c r="D298" s="21" t="n">
        <x:f>COUNTIF('Pagantes'!$B$2:$B$268,A298)</x:f>
        <x:v>0</x:v>
      </x:c>
      <x:c r="E298" s="21" t="n">
        <x:f>SUMIF('Pagantes'!$B$2:$B$268,A298,'Pagantes'!$D$2:$D$268)</x:f>
        <x:v>0</x:v>
      </x:c>
      <x:c r="F298" s="21" t="n">
        <x:f>SUMIFS('Pagantes'!$D$2:$D$268,'Pagantes'!$B$2:$B$268,A298,'Pagantes'!$E$2:$E$268,"&lt;&gt;Cancelado")</x:f>
        <x:v>0</x:v>
      </x:c>
      <x:c r="G298" s="21" t="n">
        <x:f>E298-F298</x:f>
        <x:v>0</x:v>
      </x:c>
      <x:c r="H298" s="21" t="n">
        <x:f>ROUND(F298-C298,2)</x:f>
        <x:v>-925.7</x:v>
      </x:c>
      <x:c r="I298" s="21" t="n">
        <x:f>ROUND(E298-C298,2)</x:f>
        <x:v>-925.7</x:v>
      </x:c>
      <x:c r="J298" s="17" t="str">
        <x:f>IF(B298=0,"SEM SERVIÇO NA GERAL",IF(D298=0,"SEM PAGANTE NO ARQUIVO",IF(H298=0,"BATE",IF(H298&lt;0,"PAGANTES A MENOS","PAGANTES A MAIS"))))</x:f>
        <x:v>SEM PAGANTE NO ARQUIVO</x:v>
      </x:c>
    </x:row>
    <x:row r="299" ht="15" hidden="0" customHeight="1">
      <x:c r="A299" s="17" t="str">
        <x:v>OP-1327</x:v>
      </x:c>
      <x:c r="B299" s="17" t="n">
        <x:f>COUNTIF('Serviços'!$B$2:$B$1264,A299)</x:f>
        <x:v>2</x:v>
      </x:c>
      <x:c r="C299" s="21" t="n">
        <x:f>SUMIF('Serviços'!$B$2:$B$1264,A299,'Serviços'!$I$2:$I$1264)</x:f>
        <x:v>2103.5</x:v>
      </x:c>
      <x:c r="D299" s="21" t="n">
        <x:f>COUNTIF('Pagantes'!$B$2:$B$268,A299)</x:f>
        <x:v>1</x:v>
      </x:c>
      <x:c r="E299" s="21" t="n">
        <x:f>SUMIF('Pagantes'!$B$2:$B$268,A299,'Pagantes'!$D$2:$D$268)</x:f>
        <x:v>2103.5</x:v>
      </x:c>
      <x:c r="F299" s="21" t="n">
        <x:f>SUMIFS('Pagantes'!$D$2:$D$268,'Pagantes'!$B$2:$B$268,A299,'Pagantes'!$E$2:$E$268,"&lt;&gt;Cancelado")</x:f>
        <x:v>2103.5</x:v>
      </x:c>
      <x:c r="G299" s="21" t="n">
        <x:f>E299-F299</x:f>
        <x:v>0</x:v>
      </x:c>
      <x:c r="H299" s="21" t="n">
        <x:f>ROUND(F299-C299,2)</x:f>
        <x:v>0</x:v>
      </x:c>
      <x:c r="I299" s="21" t="n">
        <x:f>ROUND(E299-C299,2)</x:f>
        <x:v>0</x:v>
      </x:c>
      <x:c r="J299" s="17" t="str">
        <x:f>IF(B299=0,"SEM SERVIÇO NA GERAL",IF(D299=0,"SEM PAGANTE NO ARQUIVO",IF(H299=0,"BATE",IF(H299&lt;0,"PAGANTES A MENOS","PAGANTES A MAIS"))))</x:f>
        <x:v>BATE</x:v>
      </x:c>
    </x:row>
    <x:row r="300" ht="15" hidden="0" customHeight="1">
      <x:c r="A300" s="17" t="str">
        <x:v>OP-1328</x:v>
      </x:c>
      <x:c r="B300" s="17" t="n">
        <x:f>COUNTIF('Serviços'!$B$2:$B$1264,A300)</x:f>
        <x:v>2</x:v>
      </x:c>
      <x:c r="C300" s="21" t="n">
        <x:f>SUMIF('Serviços'!$B$2:$B$1264,A300,'Serviços'!$I$2:$I$1264)</x:f>
        <x:v>1050.72</x:v>
      </x:c>
      <x:c r="D300" s="21" t="n">
        <x:f>COUNTIF('Pagantes'!$B$2:$B$268,A300)</x:f>
        <x:v>1</x:v>
      </x:c>
      <x:c r="E300" s="21" t="n">
        <x:f>SUMIF('Pagantes'!$B$2:$B$268,A300,'Pagantes'!$D$2:$D$268)</x:f>
        <x:v>1050.72</x:v>
      </x:c>
      <x:c r="F300" s="21" t="n">
        <x:f>SUMIFS('Pagantes'!$D$2:$D$268,'Pagantes'!$B$2:$B$268,A300,'Pagantes'!$E$2:$E$268,"&lt;&gt;Cancelado")</x:f>
        <x:v>1050.72</x:v>
      </x:c>
      <x:c r="G300" s="21" t="n">
        <x:f>E300-F300</x:f>
        <x:v>0</x:v>
      </x:c>
      <x:c r="H300" s="21" t="n">
        <x:f>ROUND(F300-C300,2)</x:f>
        <x:v>0</x:v>
      </x:c>
      <x:c r="I300" s="21" t="n">
        <x:f>ROUND(E300-C300,2)</x:f>
        <x:v>0</x:v>
      </x:c>
      <x:c r="J300" s="17" t="str">
        <x:f>IF(B300=0,"SEM SERVIÇO NA GERAL",IF(D300=0,"SEM PAGANTE NO ARQUIVO",IF(H300=0,"BATE",IF(H300&lt;0,"PAGANTES A MENOS","PAGANTES A MAIS"))))</x:f>
        <x:v>BATE</x:v>
      </x:c>
    </x:row>
    <x:row r="301" ht="15" hidden="0" customHeight="1">
      <x:c r="A301" s="17" t="str">
        <x:v>OP-1329</x:v>
      </x:c>
      <x:c r="B301" s="17" t="n">
        <x:f>COUNTIF('Serviços'!$B$2:$B$1264,A301)</x:f>
        <x:v>7</x:v>
      </x:c>
      <x:c r="C301" s="21" t="n">
        <x:f>SUMIF('Serviços'!$B$2:$B$1264,A301,'Serviços'!$I$2:$I$1264)</x:f>
        <x:v>6621.3099999999995</x:v>
      </x:c>
      <x:c r="D301" s="21" t="n">
        <x:f>COUNTIF('Pagantes'!$B$2:$B$268,A301)</x:f>
        <x:v>0</x:v>
      </x:c>
      <x:c r="E301" s="21" t="n">
        <x:f>SUMIF('Pagantes'!$B$2:$B$268,A301,'Pagantes'!$D$2:$D$268)</x:f>
        <x:v>0</x:v>
      </x:c>
      <x:c r="F301" s="21" t="n">
        <x:f>SUMIFS('Pagantes'!$D$2:$D$268,'Pagantes'!$B$2:$B$268,A301,'Pagantes'!$E$2:$E$268,"&lt;&gt;Cancelado")</x:f>
        <x:v>0</x:v>
      </x:c>
      <x:c r="G301" s="21" t="n">
        <x:f>E301-F301</x:f>
        <x:v>0</x:v>
      </x:c>
      <x:c r="H301" s="21" t="n">
        <x:f>ROUND(F301-C301,2)</x:f>
        <x:v>-6621.31</x:v>
      </x:c>
      <x:c r="I301" s="21" t="n">
        <x:f>ROUND(E301-C301,2)</x:f>
        <x:v>-6621.31</x:v>
      </x:c>
      <x:c r="J301" s="17" t="str">
        <x:f>IF(B301=0,"SEM SERVIÇO NA GERAL",IF(D301=0,"SEM PAGANTE NO ARQUIVO",IF(H301=0,"BATE",IF(H301&lt;0,"PAGANTES A MENOS","PAGANTES A MAIS"))))</x:f>
        <x:v>SEM PAGANTE NO ARQUIVO</x:v>
      </x:c>
    </x:row>
    <x:row r="302" ht="15" hidden="0" customHeight="1">
      <x:c r="A302" s="17" t="str">
        <x:v>OP-1330</x:v>
      </x:c>
      <x:c r="B302" s="17" t="n">
        <x:f>COUNTIF('Serviços'!$B$2:$B$1264,A302)</x:f>
        <x:v>2</x:v>
      </x:c>
      <x:c r="C302" s="21" t="n">
        <x:f>SUMIF('Serviços'!$B$2:$B$1264,A302,'Serviços'!$I$2:$I$1264)</x:f>
        <x:v>1148.48</x:v>
      </x:c>
      <x:c r="D302" s="21" t="n">
        <x:f>COUNTIF('Pagantes'!$B$2:$B$268,A302)</x:f>
        <x:v>1</x:v>
      </x:c>
      <x:c r="E302" s="21" t="n">
        <x:f>SUMIF('Pagantes'!$B$2:$B$268,A302,'Pagantes'!$D$2:$D$268)</x:f>
        <x:v>1148.48</x:v>
      </x:c>
      <x:c r="F302" s="21" t="n">
        <x:f>SUMIFS('Pagantes'!$D$2:$D$268,'Pagantes'!$B$2:$B$268,A302,'Pagantes'!$E$2:$E$268,"&lt;&gt;Cancelado")</x:f>
        <x:v>1148.48</x:v>
      </x:c>
      <x:c r="G302" s="21" t="n">
        <x:f>E302-F302</x:f>
        <x:v>0</x:v>
      </x:c>
      <x:c r="H302" s="21" t="n">
        <x:f>ROUND(F302-C302,2)</x:f>
        <x:v>0</x:v>
      </x:c>
      <x:c r="I302" s="21" t="n">
        <x:f>ROUND(E302-C302,2)</x:f>
        <x:v>0</x:v>
      </x:c>
      <x:c r="J302" s="17" t="str">
        <x:f>IF(B302=0,"SEM SERVIÇO NA GERAL",IF(D302=0,"SEM PAGANTE NO ARQUIVO",IF(H302=0,"BATE",IF(H302&lt;0,"PAGANTES A MENOS","PAGANTES A MAIS"))))</x:f>
        <x:v>BATE</x:v>
      </x:c>
    </x:row>
    <x:row r="303" ht="15" hidden="0" customHeight="1">
      <x:c r="A303" s="17" t="str">
        <x:v>OP-1331</x:v>
      </x:c>
      <x:c r="B303" s="17" t="n">
        <x:f>COUNTIF('Serviços'!$B$2:$B$1264,A303)</x:f>
        <x:v>2</x:v>
      </x:c>
      <x:c r="C303" s="21" t="n">
        <x:f>SUMIF('Serviços'!$B$2:$B$1264,A303,'Serviços'!$I$2:$I$1264)</x:f>
        <x:v>1427.64</x:v>
      </x:c>
      <x:c r="D303" s="21" t="n">
        <x:f>COUNTIF('Pagantes'!$B$2:$B$268,A303)</x:f>
        <x:v>1</x:v>
      </x:c>
      <x:c r="E303" s="21" t="n">
        <x:f>SUMIF('Pagantes'!$B$2:$B$268,A303,'Pagantes'!$D$2:$D$268)</x:f>
        <x:v>1427.64</x:v>
      </x:c>
      <x:c r="F303" s="21" t="n">
        <x:f>SUMIFS('Pagantes'!$D$2:$D$268,'Pagantes'!$B$2:$B$268,A303,'Pagantes'!$E$2:$E$268,"&lt;&gt;Cancelado")</x:f>
        <x:v>1427.64</x:v>
      </x:c>
      <x:c r="G303" s="21" t="n">
        <x:f>E303-F303</x:f>
        <x:v>0</x:v>
      </x:c>
      <x:c r="H303" s="21" t="n">
        <x:f>ROUND(F303-C303,2)</x:f>
        <x:v>0</x:v>
      </x:c>
      <x:c r="I303" s="21" t="n">
        <x:f>ROUND(E303-C303,2)</x:f>
        <x:v>0</x:v>
      </x:c>
      <x:c r="J303" s="17" t="str">
        <x:f>IF(B303=0,"SEM SERVIÇO NA GERAL",IF(D303=0,"SEM PAGANTE NO ARQUIVO",IF(H303=0,"BATE",IF(H303&lt;0,"PAGANTES A MENOS","PAGANTES A MAIS"))))</x:f>
        <x:v>BATE</x:v>
      </x:c>
    </x:row>
    <x:row r="304" ht="15" hidden="0" customHeight="1">
      <x:c r="A304" s="17" t="str">
        <x:v>OP-1332</x:v>
      </x:c>
      <x:c r="B304" s="17" t="n">
        <x:f>COUNTIF('Serviços'!$B$2:$B$1264,A304)</x:f>
        <x:v>1</x:v>
      </x:c>
      <x:c r="C304" s="21" t="n">
        <x:f>SUMIF('Serviços'!$B$2:$B$1264,A304,'Serviços'!$I$2:$I$1264)</x:f>
        <x:v>253.79</x:v>
      </x:c>
      <x:c r="D304" s="21" t="n">
        <x:f>COUNTIF('Pagantes'!$B$2:$B$268,A304)</x:f>
        <x:v>1</x:v>
      </x:c>
      <x:c r="E304" s="21" t="n">
        <x:f>SUMIF('Pagantes'!$B$2:$B$268,A304,'Pagantes'!$D$2:$D$268)</x:f>
        <x:v>253.79</x:v>
      </x:c>
      <x:c r="F304" s="21" t="n">
        <x:f>SUMIFS('Pagantes'!$D$2:$D$268,'Pagantes'!$B$2:$B$268,A304,'Pagantes'!$E$2:$E$268,"&lt;&gt;Cancelado")</x:f>
        <x:v>253.79</x:v>
      </x:c>
      <x:c r="G304" s="21" t="n">
        <x:f>E304-F304</x:f>
        <x:v>0</x:v>
      </x:c>
      <x:c r="H304" s="21" t="n">
        <x:f>ROUND(F304-C304,2)</x:f>
        <x:v>0</x:v>
      </x:c>
      <x:c r="I304" s="21" t="n">
        <x:f>ROUND(E304-C304,2)</x:f>
        <x:v>0</x:v>
      </x:c>
      <x:c r="J304" s="17" t="str">
        <x:f>IF(B304=0,"SEM SERVIÇO NA GERAL",IF(D304=0,"SEM PAGANTE NO ARQUIVO",IF(H304=0,"BATE",IF(H304&lt;0,"PAGANTES A MENOS","PAGANTES A MAIS"))))</x:f>
        <x:v>BATE</x:v>
      </x:c>
    </x:row>
    <x:row r="305" ht="15" hidden="0" customHeight="1">
      <x:c r="A305" s="17" t="str">
        <x:v>OP-1333</x:v>
      </x:c>
      <x:c r="B305" s="17" t="n">
        <x:f>COUNTIF('Serviços'!$B$2:$B$1264,A305)</x:f>
        <x:v>2</x:v>
      </x:c>
      <x:c r="C305" s="21" t="n">
        <x:f>SUMIF('Serviços'!$B$2:$B$1264,A305,'Serviços'!$I$2:$I$1264)</x:f>
        <x:v>1085.84</x:v>
      </x:c>
      <x:c r="D305" s="21" t="n">
        <x:f>COUNTIF('Pagantes'!$B$2:$B$268,A305)</x:f>
        <x:v>1</x:v>
      </x:c>
      <x:c r="E305" s="21" t="n">
        <x:f>SUMIF('Pagantes'!$B$2:$B$268,A305,'Pagantes'!$D$2:$D$268)</x:f>
        <x:v>1085.84</x:v>
      </x:c>
      <x:c r="F305" s="21" t="n">
        <x:f>SUMIFS('Pagantes'!$D$2:$D$268,'Pagantes'!$B$2:$B$268,A305,'Pagantes'!$E$2:$E$268,"&lt;&gt;Cancelado")</x:f>
        <x:v>1085.84</x:v>
      </x:c>
      <x:c r="G305" s="21" t="n">
        <x:f>E305-F305</x:f>
        <x:v>0</x:v>
      </x:c>
      <x:c r="H305" s="21" t="n">
        <x:f>ROUND(F305-C305,2)</x:f>
        <x:v>0</x:v>
      </x:c>
      <x:c r="I305" s="21" t="n">
        <x:f>ROUND(E305-C305,2)</x:f>
        <x:v>0</x:v>
      </x:c>
      <x:c r="J305" s="17" t="str">
        <x:f>IF(B305=0,"SEM SERVIÇO NA GERAL",IF(D305=0,"SEM PAGANTE NO ARQUIVO",IF(H305=0,"BATE",IF(H305&lt;0,"PAGANTES A MENOS","PAGANTES A MAIS"))))</x:f>
        <x:v>BATE</x:v>
      </x:c>
    </x:row>
    <x:row r="306" ht="15" hidden="0" customHeight="1">
      <x:c r="A306" s="17" t="str">
        <x:v>OP-1334</x:v>
      </x:c>
      <x:c r="B306" s="17" t="n">
        <x:f>COUNTIF('Serviços'!$B$2:$B$1264,A306)</x:f>
        <x:v>2</x:v>
      </x:c>
      <x:c r="C306" s="21" t="n">
        <x:f>SUMIF('Serviços'!$B$2:$B$1264,A306,'Serviços'!$I$2:$I$1264)</x:f>
        <x:v>1406.86</x:v>
      </x:c>
      <x:c r="D306" s="21" t="n">
        <x:f>COUNTIF('Pagantes'!$B$2:$B$268,A306)</x:f>
        <x:v>1</x:v>
      </x:c>
      <x:c r="E306" s="21" t="n">
        <x:f>SUMIF('Pagantes'!$B$2:$B$268,A306,'Pagantes'!$D$2:$D$268)</x:f>
        <x:v>1406.86</x:v>
      </x:c>
      <x:c r="F306" s="21" t="n">
        <x:f>SUMIFS('Pagantes'!$D$2:$D$268,'Pagantes'!$B$2:$B$268,A306,'Pagantes'!$E$2:$E$268,"&lt;&gt;Cancelado")</x:f>
        <x:v>1406.86</x:v>
      </x:c>
      <x:c r="G306" s="21" t="n">
        <x:f>E306-F306</x:f>
        <x:v>0</x:v>
      </x:c>
      <x:c r="H306" s="21" t="n">
        <x:f>ROUND(F306-C306,2)</x:f>
        <x:v>0</x:v>
      </x:c>
      <x:c r="I306" s="21" t="n">
        <x:f>ROUND(E306-C306,2)</x:f>
        <x:v>0</x:v>
      </x:c>
      <x:c r="J306" s="17" t="str">
        <x:f>IF(B306=0,"SEM SERVIÇO NA GERAL",IF(D306=0,"SEM PAGANTE NO ARQUIVO",IF(H306=0,"BATE",IF(H306&lt;0,"PAGANTES A MENOS","PAGANTES A MAIS"))))</x:f>
        <x:v>BATE</x:v>
      </x:c>
    </x:row>
    <x:row r="307" ht="15" hidden="0" customHeight="1">
      <x:c r="A307" s="17" t="str">
        <x:v>OP-1335</x:v>
      </x:c>
      <x:c r="B307" s="17" t="n">
        <x:f>COUNTIF('Serviços'!$B$2:$B$1264,A307)</x:f>
        <x:v>2</x:v>
      </x:c>
      <x:c r="C307" s="21" t="n">
        <x:f>SUMIF('Serviços'!$B$2:$B$1264,A307,'Serviços'!$I$2:$I$1264)</x:f>
        <x:v>952.96</x:v>
      </x:c>
      <x:c r="D307" s="21" t="n">
        <x:f>COUNTIF('Pagantes'!$B$2:$B$268,A307)</x:f>
        <x:v>1</x:v>
      </x:c>
      <x:c r="E307" s="21" t="n">
        <x:f>SUMIF('Pagantes'!$B$2:$B$268,A307,'Pagantes'!$D$2:$D$268)</x:f>
        <x:v>952.96</x:v>
      </x:c>
      <x:c r="F307" s="21" t="n">
        <x:f>SUMIFS('Pagantes'!$D$2:$D$268,'Pagantes'!$B$2:$B$268,A307,'Pagantes'!$E$2:$E$268,"&lt;&gt;Cancelado")</x:f>
        <x:v>952.96</x:v>
      </x:c>
      <x:c r="G307" s="21" t="n">
        <x:f>E307-F307</x:f>
        <x:v>0</x:v>
      </x:c>
      <x:c r="H307" s="21" t="n">
        <x:f>ROUND(F307-C307,2)</x:f>
        <x:v>0</x:v>
      </x:c>
      <x:c r="I307" s="21" t="n">
        <x:f>ROUND(E307-C307,2)</x:f>
        <x:v>0</x:v>
      </x:c>
      <x:c r="J307" s="17" t="str">
        <x:f>IF(B307=0,"SEM SERVIÇO NA GERAL",IF(D307=0,"SEM PAGANTE NO ARQUIVO",IF(H307=0,"BATE",IF(H307&lt;0,"PAGANTES A MENOS","PAGANTES A MAIS"))))</x:f>
        <x:v>BATE</x:v>
      </x:c>
    </x:row>
    <x:row r="308" ht="15" hidden="0" customHeight="1">
      <x:c r="A308" s="17" t="str">
        <x:v>OP-1337</x:v>
      </x:c>
      <x:c r="B308" s="17" t="n">
        <x:f>COUNTIF('Serviços'!$B$2:$B$1264,A308)</x:f>
        <x:v>2</x:v>
      </x:c>
      <x:c r="C308" s="21" t="n">
        <x:f>SUMIF('Serviços'!$B$2:$B$1264,A308,'Serviços'!$I$2:$I$1264)</x:f>
        <x:v>1142.42</x:v>
      </x:c>
      <x:c r="D308" s="21" t="n">
        <x:f>COUNTIF('Pagantes'!$B$2:$B$268,A308)</x:f>
        <x:v>1</x:v>
      </x:c>
      <x:c r="E308" s="21" t="n">
        <x:f>SUMIF('Pagantes'!$B$2:$B$268,A308,'Pagantes'!$D$2:$D$268)</x:f>
        <x:v>1142.42</x:v>
      </x:c>
      <x:c r="F308" s="21" t="n">
        <x:f>SUMIFS('Pagantes'!$D$2:$D$268,'Pagantes'!$B$2:$B$268,A308,'Pagantes'!$E$2:$E$268,"&lt;&gt;Cancelado")</x:f>
        <x:v>1142.42</x:v>
      </x:c>
      <x:c r="G308" s="21" t="n">
        <x:f>E308-F308</x:f>
        <x:v>0</x:v>
      </x:c>
      <x:c r="H308" s="21" t="n">
        <x:f>ROUND(F308-C308,2)</x:f>
        <x:v>0</x:v>
      </x:c>
      <x:c r="I308" s="21" t="n">
        <x:f>ROUND(E308-C308,2)</x:f>
        <x:v>0</x:v>
      </x:c>
      <x:c r="J308" s="17" t="str">
        <x:f>IF(B308=0,"SEM SERVIÇO NA GERAL",IF(D308=0,"SEM PAGANTE NO ARQUIVO",IF(H308=0,"BATE",IF(H308&lt;0,"PAGANTES A MENOS","PAGANTES A MAIS"))))</x:f>
        <x:v>BATE</x:v>
      </x:c>
    </x:row>
    <x:row r="309" ht="15" hidden="0" customHeight="1">
      <x:c r="A309" s="17" t="str">
        <x:v>OP-1338</x:v>
      </x:c>
      <x:c r="B309" s="17" t="n">
        <x:f>COUNTIF('Serviços'!$B$2:$B$1264,A309)</x:f>
        <x:v>2</x:v>
      </x:c>
      <x:c r="C309" s="21" t="n">
        <x:f>SUMIF('Serviços'!$B$2:$B$1264,A309,'Serviços'!$I$2:$I$1264)</x:f>
        <x:v>913.3800000000001</x:v>
      </x:c>
      <x:c r="D309" s="21" t="n">
        <x:f>COUNTIF('Pagantes'!$B$2:$B$268,A309)</x:f>
        <x:v>1</x:v>
      </x:c>
      <x:c r="E309" s="21" t="n">
        <x:f>SUMIF('Pagantes'!$B$2:$B$268,A309,'Pagantes'!$D$2:$D$268)</x:f>
        <x:v>913.38</x:v>
      </x:c>
      <x:c r="F309" s="21" t="n">
        <x:f>SUMIFS('Pagantes'!$D$2:$D$268,'Pagantes'!$B$2:$B$268,A309,'Pagantes'!$E$2:$E$268,"&lt;&gt;Cancelado")</x:f>
        <x:v>913.38</x:v>
      </x:c>
      <x:c r="G309" s="21" t="n">
        <x:f>E309-F309</x:f>
        <x:v>0</x:v>
      </x:c>
      <x:c r="H309" s="21" t="n">
        <x:f>ROUND(F309-C309,2)</x:f>
        <x:v>0</x:v>
      </x:c>
      <x:c r="I309" s="21" t="n">
        <x:f>ROUND(E309-C309,2)</x:f>
        <x:v>0</x:v>
      </x:c>
      <x:c r="J309" s="17" t="str">
        <x:f>IF(B309=0,"SEM SERVIÇO NA GERAL",IF(D309=0,"SEM PAGANTE NO ARQUIVO",IF(H309=0,"BATE",IF(H309&lt;0,"PAGANTES A MENOS","PAGANTES A MAIS"))))</x:f>
        <x:v>BATE</x:v>
      </x:c>
    </x:row>
    <x:row r="310" ht="15" hidden="0" customHeight="1">
      <x:c r="A310" s="17" t="str">
        <x:v>OP-1340</x:v>
      </x:c>
      <x:c r="B310" s="17" t="n">
        <x:f>COUNTIF('Serviços'!$B$2:$B$1264,A310)</x:f>
        <x:v>4</x:v>
      </x:c>
      <x:c r="C310" s="21" t="n">
        <x:f>SUMIF('Serviços'!$B$2:$B$1264,A310,'Serviços'!$I$2:$I$1264)</x:f>
        <x:v>4970</x:v>
      </x:c>
      <x:c r="D310" s="21" t="n">
        <x:f>COUNTIF('Pagantes'!$B$2:$B$268,A310)</x:f>
        <x:v>1</x:v>
      </x:c>
      <x:c r="E310" s="21" t="n">
        <x:f>SUMIF('Pagantes'!$B$2:$B$268,A310,'Pagantes'!$D$2:$D$268)</x:f>
        <x:v>4970</x:v>
      </x:c>
      <x:c r="F310" s="21" t="n">
        <x:f>SUMIFS('Pagantes'!$D$2:$D$268,'Pagantes'!$B$2:$B$268,A310,'Pagantes'!$E$2:$E$268,"&lt;&gt;Cancelado")</x:f>
        <x:v>4970</x:v>
      </x:c>
      <x:c r="G310" s="21" t="n">
        <x:f>E310-F310</x:f>
        <x:v>0</x:v>
      </x:c>
      <x:c r="H310" s="21" t="n">
        <x:f>ROUND(F310-C310,2)</x:f>
        <x:v>0</x:v>
      </x:c>
      <x:c r="I310" s="21" t="n">
        <x:f>ROUND(E310-C310,2)</x:f>
        <x:v>0</x:v>
      </x:c>
      <x:c r="J310" s="17" t="str">
        <x:f>IF(B310=0,"SEM SERVIÇO NA GERAL",IF(D310=0,"SEM PAGANTE NO ARQUIVO",IF(H310=0,"BATE",IF(H310&lt;0,"PAGANTES A MENOS","PAGANTES A MAIS"))))</x:f>
        <x:v>BATE</x:v>
      </x:c>
    </x:row>
    <x:row r="311" ht="15" hidden="0" customHeight="1">
      <x:c r="A311" s="17" t="str">
        <x:v>OP-1341</x:v>
      </x:c>
      <x:c r="B311" s="17" t="n">
        <x:f>COUNTIF('Serviços'!$B$2:$B$1264,A311)</x:f>
        <x:v>1</x:v>
      </x:c>
      <x:c r="C311" s="21" t="n">
        <x:f>SUMIF('Serviços'!$B$2:$B$1264,A311,'Serviços'!$I$2:$I$1264)</x:f>
        <x:v>306</x:v>
      </x:c>
      <x:c r="D311" s="21" t="n">
        <x:f>COUNTIF('Pagantes'!$B$2:$B$268,A311)</x:f>
        <x:v>1</x:v>
      </x:c>
      <x:c r="E311" s="21" t="n">
        <x:f>SUMIF('Pagantes'!$B$2:$B$268,A311,'Pagantes'!$D$2:$D$268)</x:f>
        <x:v>306</x:v>
      </x:c>
      <x:c r="F311" s="21" t="n">
        <x:f>SUMIFS('Pagantes'!$D$2:$D$268,'Pagantes'!$B$2:$B$268,A311,'Pagantes'!$E$2:$E$268,"&lt;&gt;Cancelado")</x:f>
        <x:v>306</x:v>
      </x:c>
      <x:c r="G311" s="21" t="n">
        <x:f>E311-F311</x:f>
        <x:v>0</x:v>
      </x:c>
      <x:c r="H311" s="21" t="n">
        <x:f>ROUND(F311-C311,2)</x:f>
        <x:v>0</x:v>
      </x:c>
      <x:c r="I311" s="21" t="n">
        <x:f>ROUND(E311-C311,2)</x:f>
        <x:v>0</x:v>
      </x:c>
      <x:c r="J311" s="17" t="str">
        <x:f>IF(B311=0,"SEM SERVIÇO NA GERAL",IF(D311=0,"SEM PAGANTE NO ARQUIVO",IF(H311=0,"BATE",IF(H311&lt;0,"PAGANTES A MENOS","PAGANTES A MAIS"))))</x:f>
        <x:v>BATE</x:v>
      </x:c>
    </x:row>
    <x:row r="312" ht="15" hidden="0" customHeight="1">
      <x:c r="A312" s="17" t="str">
        <x:v>OP-1342</x:v>
      </x:c>
      <x:c r="B312" s="17" t="n">
        <x:f>COUNTIF('Serviços'!$B$2:$B$1264,A312)</x:f>
        <x:v>2</x:v>
      </x:c>
      <x:c r="C312" s="21" t="n">
        <x:f>SUMIF('Serviços'!$B$2:$B$1264,A312,'Serviços'!$I$2:$I$1264)</x:f>
        <x:v>859.1</x:v>
      </x:c>
      <x:c r="D312" s="21" t="n">
        <x:f>COUNTIF('Pagantes'!$B$2:$B$268,A312)</x:f>
        <x:v>1</x:v>
      </x:c>
      <x:c r="E312" s="21" t="n">
        <x:f>SUMIF('Pagantes'!$B$2:$B$268,A312,'Pagantes'!$D$2:$D$268)</x:f>
        <x:v>859.1</x:v>
      </x:c>
      <x:c r="F312" s="21" t="n">
        <x:f>SUMIFS('Pagantes'!$D$2:$D$268,'Pagantes'!$B$2:$B$268,A312,'Pagantes'!$E$2:$E$268,"&lt;&gt;Cancelado")</x:f>
        <x:v>859.1</x:v>
      </x:c>
      <x:c r="G312" s="21" t="n">
        <x:f>E312-F312</x:f>
        <x:v>0</x:v>
      </x:c>
      <x:c r="H312" s="21" t="n">
        <x:f>ROUND(F312-C312,2)</x:f>
        <x:v>0</x:v>
      </x:c>
      <x:c r="I312" s="21" t="n">
        <x:f>ROUND(E312-C312,2)</x:f>
        <x:v>0</x:v>
      </x:c>
      <x:c r="J312" s="17" t="str">
        <x:f>IF(B312=0,"SEM SERVIÇO NA GERAL",IF(D312=0,"SEM PAGANTE NO ARQUIVO",IF(H312=0,"BATE",IF(H312&lt;0,"PAGANTES A MENOS","PAGANTES A MAIS"))))</x:f>
        <x:v>BATE</x:v>
      </x:c>
    </x:row>
    <x:row r="313" ht="15" hidden="0" customHeight="1">
      <x:c r="A313" s="17" t="str">
        <x:v>OP-1343</x:v>
      </x:c>
      <x:c r="B313" s="17" t="n">
        <x:f>COUNTIF('Serviços'!$B$2:$B$1264,A313)</x:f>
        <x:v>2</x:v>
      </x:c>
      <x:c r="C313" s="21" t="n">
        <x:f>SUMIF('Serviços'!$B$2:$B$1264,A313,'Serviços'!$I$2:$I$1264)</x:f>
        <x:v>952.96</x:v>
      </x:c>
      <x:c r="D313" s="21" t="n">
        <x:f>COUNTIF('Pagantes'!$B$2:$B$268,A313)</x:f>
        <x:v>1</x:v>
      </x:c>
      <x:c r="E313" s="21" t="n">
        <x:f>SUMIF('Pagantes'!$B$2:$B$268,A313,'Pagantes'!$D$2:$D$268)</x:f>
        <x:v>952.96</x:v>
      </x:c>
      <x:c r="F313" s="21" t="n">
        <x:f>SUMIFS('Pagantes'!$D$2:$D$268,'Pagantes'!$B$2:$B$268,A313,'Pagantes'!$E$2:$E$268,"&lt;&gt;Cancelado")</x:f>
        <x:v>952.96</x:v>
      </x:c>
      <x:c r="G313" s="21" t="n">
        <x:f>E313-F313</x:f>
        <x:v>0</x:v>
      </x:c>
      <x:c r="H313" s="21" t="n">
        <x:f>ROUND(F313-C313,2)</x:f>
        <x:v>0</x:v>
      </x:c>
      <x:c r="I313" s="21" t="n">
        <x:f>ROUND(E313-C313,2)</x:f>
        <x:v>0</x:v>
      </x:c>
      <x:c r="J313" s="17" t="str">
        <x:f>IF(B313=0,"SEM SERVIÇO NA GERAL",IF(D313=0,"SEM PAGANTE NO ARQUIVO",IF(H313=0,"BATE",IF(H313&lt;0,"PAGANTES A MENOS","PAGANTES A MAIS"))))</x:f>
        <x:v>BATE</x:v>
      </x:c>
    </x:row>
    <x:row r="314" ht="15" hidden="0" customHeight="1">
      <x:c r="A314" s="17" t="str">
        <x:v>OP-1344</x:v>
      </x:c>
      <x:c r="B314" s="17" t="n">
        <x:f>COUNTIF('Serviços'!$B$2:$B$1264,A314)</x:f>
        <x:v>1</x:v>
      </x:c>
      <x:c r="C314" s="21" t="n">
        <x:f>SUMIF('Serviços'!$B$2:$B$1264,A314,'Serviços'!$I$2:$I$1264)</x:f>
        <x:v>509.98</x:v>
      </x:c>
      <x:c r="D314" s="21" t="n">
        <x:f>COUNTIF('Pagantes'!$B$2:$B$268,A314)</x:f>
        <x:v>1</x:v>
      </x:c>
      <x:c r="E314" s="21" t="n">
        <x:f>SUMIF('Pagantes'!$B$2:$B$268,A314,'Pagantes'!$D$2:$D$268)</x:f>
        <x:v>509.98</x:v>
      </x:c>
      <x:c r="F314" s="21" t="n">
        <x:f>SUMIFS('Pagantes'!$D$2:$D$268,'Pagantes'!$B$2:$B$268,A314,'Pagantes'!$E$2:$E$268,"&lt;&gt;Cancelado")</x:f>
        <x:v>509.98</x:v>
      </x:c>
      <x:c r="G314" s="21" t="n">
        <x:f>E314-F314</x:f>
        <x:v>0</x:v>
      </x:c>
      <x:c r="H314" s="21" t="n">
        <x:f>ROUND(F314-C314,2)</x:f>
        <x:v>0</x:v>
      </x:c>
      <x:c r="I314" s="21" t="n">
        <x:f>ROUND(E314-C314,2)</x:f>
        <x:v>0</x:v>
      </x:c>
      <x:c r="J314" s="17" t="str">
        <x:f>IF(B314=0,"SEM SERVIÇO NA GERAL",IF(D314=0,"SEM PAGANTE NO ARQUIVO",IF(H314=0,"BATE",IF(H314&lt;0,"PAGANTES A MENOS","PAGANTES A MAIS"))))</x:f>
        <x:v>BATE</x:v>
      </x:c>
    </x:row>
    <x:row r="315" ht="15" hidden="0" customHeight="1">
      <x:c r="A315" s="17" t="str">
        <x:v>OP-1345</x:v>
      </x:c>
      <x:c r="B315" s="17" t="n">
        <x:f>COUNTIF('Serviços'!$B$2:$B$1264,A315)</x:f>
        <x:v>2</x:v>
      </x:c>
      <x:c r="C315" s="21" t="n">
        <x:f>SUMIF('Serviços'!$B$2:$B$1264,A315,'Serviços'!$I$2:$I$1264)</x:f>
        <x:v>1050.72</x:v>
      </x:c>
      <x:c r="D315" s="21" t="n">
        <x:f>COUNTIF('Pagantes'!$B$2:$B$268,A315)</x:f>
        <x:v>1</x:v>
      </x:c>
      <x:c r="E315" s="21" t="n">
        <x:f>SUMIF('Pagantes'!$B$2:$B$268,A315,'Pagantes'!$D$2:$D$268)</x:f>
        <x:v>1050.72</x:v>
      </x:c>
      <x:c r="F315" s="21" t="n">
        <x:f>SUMIFS('Pagantes'!$D$2:$D$268,'Pagantes'!$B$2:$B$268,A315,'Pagantes'!$E$2:$E$268,"&lt;&gt;Cancelado")</x:f>
        <x:v>1050.72</x:v>
      </x:c>
      <x:c r="G315" s="21" t="n">
        <x:f>E315-F315</x:f>
        <x:v>0</x:v>
      </x:c>
      <x:c r="H315" s="21" t="n">
        <x:f>ROUND(F315-C315,2)</x:f>
        <x:v>0</x:v>
      </x:c>
      <x:c r="I315" s="21" t="n">
        <x:f>ROUND(E315-C315,2)</x:f>
        <x:v>0</x:v>
      </x:c>
      <x:c r="J315" s="17" t="str">
        <x:f>IF(B315=0,"SEM SERVIÇO NA GERAL",IF(D315=0,"SEM PAGANTE NO ARQUIVO",IF(H315=0,"BATE",IF(H315&lt;0,"PAGANTES A MENOS","PAGANTES A MAIS"))))</x:f>
        <x:v>BATE</x:v>
      </x:c>
    </x:row>
    <x:row r="316" ht="15" hidden="0" customHeight="1">
      <x:c r="A316" s="17" t="str">
        <x:v>OP-1346</x:v>
      </x:c>
      <x:c r="B316" s="17" t="n">
        <x:f>COUNTIF('Serviços'!$B$2:$B$1264,A316)</x:f>
        <x:v>2</x:v>
      </x:c>
      <x:c r="C316" s="21" t="n">
        <x:f>SUMIF('Serviços'!$B$2:$B$1264,A316,'Serviços'!$I$2:$I$1264)</x:f>
        <x:v>952.96</x:v>
      </x:c>
      <x:c r="D316" s="21" t="n">
        <x:f>COUNTIF('Pagantes'!$B$2:$B$268,A316)</x:f>
        <x:v>1</x:v>
      </x:c>
      <x:c r="E316" s="21" t="n">
        <x:f>SUMIF('Pagantes'!$B$2:$B$268,A316,'Pagantes'!$D$2:$D$268)</x:f>
        <x:v>952.96</x:v>
      </x:c>
      <x:c r="F316" s="21" t="n">
        <x:f>SUMIFS('Pagantes'!$D$2:$D$268,'Pagantes'!$B$2:$B$268,A316,'Pagantes'!$E$2:$E$268,"&lt;&gt;Cancelado")</x:f>
        <x:v>952.96</x:v>
      </x:c>
      <x:c r="G316" s="21" t="n">
        <x:f>E316-F316</x:f>
        <x:v>0</x:v>
      </x:c>
      <x:c r="H316" s="21" t="n">
        <x:f>ROUND(F316-C316,2)</x:f>
        <x:v>0</x:v>
      </x:c>
      <x:c r="I316" s="21" t="n">
        <x:f>ROUND(E316-C316,2)</x:f>
        <x:v>0</x:v>
      </x:c>
      <x:c r="J316" s="17" t="str">
        <x:f>IF(B316=0,"SEM SERVIÇO NA GERAL",IF(D316=0,"SEM PAGANTE NO ARQUIVO",IF(H316=0,"BATE",IF(H316&lt;0,"PAGANTES A MENOS","PAGANTES A MAIS"))))</x:f>
        <x:v>BATE</x:v>
      </x:c>
    </x:row>
    <x:row r="317" ht="15" hidden="0" customHeight="1">
      <x:c r="A317" s="17" t="str">
        <x:v>OP-1347</x:v>
      </x:c>
      <x:c r="B317" s="17" t="n">
        <x:f>COUNTIF('Serviços'!$B$2:$B$1264,A317)</x:f>
        <x:v>2</x:v>
      </x:c>
      <x:c r="C317" s="21" t="n">
        <x:f>SUMIF('Serviços'!$B$2:$B$1264,A317,'Serviços'!$I$2:$I$1264)</x:f>
        <x:v>952.96</x:v>
      </x:c>
      <x:c r="D317" s="21" t="n">
        <x:f>COUNTIF('Pagantes'!$B$2:$B$268,A317)</x:f>
        <x:v>1</x:v>
      </x:c>
      <x:c r="E317" s="21" t="n">
        <x:f>SUMIF('Pagantes'!$B$2:$B$268,A317,'Pagantes'!$D$2:$D$268)</x:f>
        <x:v>952.96</x:v>
      </x:c>
      <x:c r="F317" s="21" t="n">
        <x:f>SUMIFS('Pagantes'!$D$2:$D$268,'Pagantes'!$B$2:$B$268,A317,'Pagantes'!$E$2:$E$268,"&lt;&gt;Cancelado")</x:f>
        <x:v>952.96</x:v>
      </x:c>
      <x:c r="G317" s="21" t="n">
        <x:f>E317-F317</x:f>
        <x:v>0</x:v>
      </x:c>
      <x:c r="H317" s="21" t="n">
        <x:f>ROUND(F317-C317,2)</x:f>
        <x:v>0</x:v>
      </x:c>
      <x:c r="I317" s="21" t="n">
        <x:f>ROUND(E317-C317,2)</x:f>
        <x:v>0</x:v>
      </x:c>
      <x:c r="J317" s="17" t="str">
        <x:f>IF(B317=0,"SEM SERVIÇO NA GERAL",IF(D317=0,"SEM PAGANTE NO ARQUIVO",IF(H317=0,"BATE",IF(H317&lt;0,"PAGANTES A MENOS","PAGANTES A MAIS"))))</x:f>
        <x:v>BATE</x:v>
      </x:c>
    </x:row>
    <x:row r="318" ht="15" hidden="0" customHeight="1">
      <x:c r="A318" s="17" t="str">
        <x:v>OP-1348</x:v>
      </x:c>
      <x:c r="B318" s="17" t="n">
        <x:f>COUNTIF('Serviços'!$B$2:$B$1264,A318)</x:f>
        <x:v>2</x:v>
      </x:c>
      <x:c r="C318" s="21" t="n">
        <x:f>SUMIF('Serviços'!$B$2:$B$1264,A318,'Serviços'!$I$2:$I$1264)</x:f>
        <x:v>1050.72</x:v>
      </x:c>
      <x:c r="D318" s="21" t="n">
        <x:f>COUNTIF('Pagantes'!$B$2:$B$268,A318)</x:f>
        <x:v>1</x:v>
      </x:c>
      <x:c r="E318" s="21" t="n">
        <x:f>SUMIF('Pagantes'!$B$2:$B$268,A318,'Pagantes'!$D$2:$D$268)</x:f>
        <x:v>1050.72</x:v>
      </x:c>
      <x:c r="F318" s="21" t="n">
        <x:f>SUMIFS('Pagantes'!$D$2:$D$268,'Pagantes'!$B$2:$B$268,A318,'Pagantes'!$E$2:$E$268,"&lt;&gt;Cancelado")</x:f>
        <x:v>1050.72</x:v>
      </x:c>
      <x:c r="G318" s="21" t="n">
        <x:f>E318-F318</x:f>
        <x:v>0</x:v>
      </x:c>
      <x:c r="H318" s="21" t="n">
        <x:f>ROUND(F318-C318,2)</x:f>
        <x:v>0</x:v>
      </x:c>
      <x:c r="I318" s="21" t="n">
        <x:f>ROUND(E318-C318,2)</x:f>
        <x:v>0</x:v>
      </x:c>
      <x:c r="J318" s="17" t="str">
        <x:f>IF(B318=0,"SEM SERVIÇO NA GERAL",IF(D318=0,"SEM PAGANTE NO ARQUIVO",IF(H318=0,"BATE",IF(H318&lt;0,"PAGANTES A MENOS","PAGANTES A MAIS"))))</x:f>
        <x:v>BATE</x:v>
      </x:c>
    </x:row>
    <x:row r="319" ht="15" hidden="0" customHeight="1">
      <x:c r="A319" s="17" t="str">
        <x:v>OP-1349</x:v>
      </x:c>
      <x:c r="B319" s="17" t="n">
        <x:f>COUNTIF('Serviços'!$B$2:$B$1264,A319)</x:f>
        <x:v>2</x:v>
      </x:c>
      <x:c r="C319" s="21" t="n">
        <x:f>SUMIF('Serviços'!$B$2:$B$1264,A319,'Serviços'!$I$2:$I$1264)</x:f>
        <x:v>1050.72</x:v>
      </x:c>
      <x:c r="D319" s="21" t="n">
        <x:f>COUNTIF('Pagantes'!$B$2:$B$268,A319)</x:f>
        <x:v>1</x:v>
      </x:c>
      <x:c r="E319" s="21" t="n">
        <x:f>SUMIF('Pagantes'!$B$2:$B$268,A319,'Pagantes'!$D$2:$D$268)</x:f>
        <x:v>1050.72</x:v>
      </x:c>
      <x:c r="F319" s="21" t="n">
        <x:f>SUMIFS('Pagantes'!$D$2:$D$268,'Pagantes'!$B$2:$B$268,A319,'Pagantes'!$E$2:$E$268,"&lt;&gt;Cancelado")</x:f>
        <x:v>1050.72</x:v>
      </x:c>
      <x:c r="G319" s="21" t="n">
        <x:f>E319-F319</x:f>
        <x:v>0</x:v>
      </x:c>
      <x:c r="H319" s="21" t="n">
        <x:f>ROUND(F319-C319,2)</x:f>
        <x:v>0</x:v>
      </x:c>
      <x:c r="I319" s="21" t="n">
        <x:f>ROUND(E319-C319,2)</x:f>
        <x:v>0</x:v>
      </x:c>
      <x:c r="J319" s="17" t="str">
        <x:f>IF(B319=0,"SEM SERVIÇO NA GERAL",IF(D319=0,"SEM PAGANTE NO ARQUIVO",IF(H319=0,"BATE",IF(H319&lt;0,"PAGANTES A MENOS","PAGANTES A MAIS"))))</x:f>
        <x:v>BATE</x:v>
      </x:c>
    </x:row>
    <x:row r="320" ht="15" hidden="0" customHeight="1">
      <x:c r="A320" s="17" t="str">
        <x:v>OP-1350</x:v>
      </x:c>
      <x:c r="B320" s="17" t="n">
        <x:f>COUNTIF('Serviços'!$B$2:$B$1264,A320)</x:f>
        <x:v>2</x:v>
      </x:c>
      <x:c r="C320" s="21" t="n">
        <x:f>SUMIF('Serviços'!$B$2:$B$1264,A320,'Serviços'!$I$2:$I$1264)</x:f>
        <x:v>1974.1799999999998</x:v>
      </x:c>
      <x:c r="D320" s="21" t="n">
        <x:f>COUNTIF('Pagantes'!$B$2:$B$268,A320)</x:f>
        <x:v>1</x:v>
      </x:c>
      <x:c r="E320" s="21" t="n">
        <x:f>SUMIF('Pagantes'!$B$2:$B$268,A320,'Pagantes'!$D$2:$D$268)</x:f>
        <x:v>1974.18</x:v>
      </x:c>
      <x:c r="F320" s="21" t="n">
        <x:f>SUMIFS('Pagantes'!$D$2:$D$268,'Pagantes'!$B$2:$B$268,A320,'Pagantes'!$E$2:$E$268,"&lt;&gt;Cancelado")</x:f>
        <x:v>1974.18</x:v>
      </x:c>
      <x:c r="G320" s="21" t="n">
        <x:f>E320-F320</x:f>
        <x:v>0</x:v>
      </x:c>
      <x:c r="H320" s="21" t="n">
        <x:f>ROUND(F320-C320,2)</x:f>
        <x:v>0</x:v>
      </x:c>
      <x:c r="I320" s="21" t="n">
        <x:f>ROUND(E320-C320,2)</x:f>
        <x:v>0</x:v>
      </x:c>
      <x:c r="J320" s="17" t="str">
        <x:f>IF(B320=0,"SEM SERVIÇO NA GERAL",IF(D320=0,"SEM PAGANTE NO ARQUIVO",IF(H320=0,"BATE",IF(H320&lt;0,"PAGANTES A MENOS","PAGANTES A MAIS"))))</x:f>
        <x:v>BATE</x:v>
      </x:c>
    </x:row>
    <x:row r="321" ht="15" hidden="0" customHeight="1">
      <x:c r="A321" s="17" t="str">
        <x:v>OP-1351</x:v>
      </x:c>
      <x:c r="B321" s="17" t="n">
        <x:f>COUNTIF('Serviços'!$B$2:$B$1264,A321)</x:f>
        <x:v>2</x:v>
      </x:c>
      <x:c r="C321" s="21" t="n">
        <x:f>SUMIF('Serviços'!$B$2:$B$1264,A321,'Serviços'!$I$2:$I$1264)</x:f>
        <x:v>1019.96</x:v>
      </x:c>
      <x:c r="D321" s="21" t="n">
        <x:f>COUNTIF('Pagantes'!$B$2:$B$268,A321)</x:f>
        <x:v>0</x:v>
      </x:c>
      <x:c r="E321" s="21" t="n">
        <x:f>SUMIF('Pagantes'!$B$2:$B$268,A321,'Pagantes'!$D$2:$D$268)</x:f>
        <x:v>0</x:v>
      </x:c>
      <x:c r="F321" s="21" t="n">
        <x:f>SUMIFS('Pagantes'!$D$2:$D$268,'Pagantes'!$B$2:$B$268,A321,'Pagantes'!$E$2:$E$268,"&lt;&gt;Cancelado")</x:f>
        <x:v>0</x:v>
      </x:c>
      <x:c r="G321" s="21" t="n">
        <x:f>E321-F321</x:f>
        <x:v>0</x:v>
      </x:c>
      <x:c r="H321" s="21" t="n">
        <x:f>ROUND(F321-C321,2)</x:f>
        <x:v>-1019.96</x:v>
      </x:c>
      <x:c r="I321" s="21" t="n">
        <x:f>ROUND(E321-C321,2)</x:f>
        <x:v>-1019.96</x:v>
      </x:c>
      <x:c r="J321" s="17" t="str">
        <x:f>IF(B321=0,"SEM SERVIÇO NA GERAL",IF(D321=0,"SEM PAGANTE NO ARQUIVO",IF(H321=0,"BATE",IF(H321&lt;0,"PAGANTES A MENOS","PAGANTES A MAIS"))))</x:f>
        <x:v>SEM PAGANTE NO ARQUIVO</x:v>
      </x:c>
    </x:row>
    <x:row r="322" ht="15" hidden="0" customHeight="1">
      <x:c r="A322" s="17" t="str">
        <x:v>OP-1352</x:v>
      </x:c>
      <x:c r="B322" s="17" t="n">
        <x:f>COUNTIF('Serviços'!$B$2:$B$1264,A322)</x:f>
        <x:v>2</x:v>
      </x:c>
      <x:c r="C322" s="21" t="n">
        <x:f>SUMIF('Serviços'!$B$2:$B$1264,A322,'Serviços'!$I$2:$I$1264)</x:f>
        <x:v>2300.8</x:v>
      </x:c>
      <x:c r="D322" s="21" t="n">
        <x:f>COUNTIF('Pagantes'!$B$2:$B$268,A322)</x:f>
        <x:v>1</x:v>
      </x:c>
      <x:c r="E322" s="21" t="n">
        <x:f>SUMIF('Pagantes'!$B$2:$B$268,A322,'Pagantes'!$D$2:$D$268)</x:f>
        <x:v>2300.8</x:v>
      </x:c>
      <x:c r="F322" s="21" t="n">
        <x:f>SUMIFS('Pagantes'!$D$2:$D$268,'Pagantes'!$B$2:$B$268,A322,'Pagantes'!$E$2:$E$268,"&lt;&gt;Cancelado")</x:f>
        <x:v>2300.8</x:v>
      </x:c>
      <x:c r="G322" s="21" t="n">
        <x:f>E322-F322</x:f>
        <x:v>0</x:v>
      </x:c>
      <x:c r="H322" s="21" t="n">
        <x:f>ROUND(F322-C322,2)</x:f>
        <x:v>0</x:v>
      </x:c>
      <x:c r="I322" s="21" t="n">
        <x:f>ROUND(E322-C322,2)</x:f>
        <x:v>0</x:v>
      </x:c>
      <x:c r="J322" s="17" t="str">
        <x:f>IF(B322=0,"SEM SERVIÇO NA GERAL",IF(D322=0,"SEM PAGANTE NO ARQUIVO",IF(H322=0,"BATE",IF(H322&lt;0,"PAGANTES A MENOS","PAGANTES A MAIS"))))</x:f>
        <x:v>BATE</x:v>
      </x:c>
    </x:row>
    <x:row r="323" ht="15" hidden="0" customHeight="1">
      <x:c r="A323" s="17" t="str">
        <x:v>OP-1353</x:v>
      </x:c>
      <x:c r="B323" s="17" t="n">
        <x:f>COUNTIF('Serviços'!$B$2:$B$1264,A323)</x:f>
        <x:v>3</x:v>
      </x:c>
      <x:c r="C323" s="21" t="n">
        <x:f>SUMIF('Serviços'!$B$2:$B$1264,A323,'Serviços'!$I$2:$I$1264)</x:f>
        <x:v>870</x:v>
      </x:c>
      <x:c r="D323" s="21" t="n">
        <x:f>COUNTIF('Pagantes'!$B$2:$B$268,A323)</x:f>
        <x:v>0</x:v>
      </x:c>
      <x:c r="E323" s="21" t="n">
        <x:f>SUMIF('Pagantes'!$B$2:$B$268,A323,'Pagantes'!$D$2:$D$268)</x:f>
        <x:v>0</x:v>
      </x:c>
      <x:c r="F323" s="21" t="n">
        <x:f>SUMIFS('Pagantes'!$D$2:$D$268,'Pagantes'!$B$2:$B$268,A323,'Pagantes'!$E$2:$E$268,"&lt;&gt;Cancelado")</x:f>
        <x:v>0</x:v>
      </x:c>
      <x:c r="G323" s="21" t="n">
        <x:f>E323-F323</x:f>
        <x:v>0</x:v>
      </x:c>
      <x:c r="H323" s="21" t="n">
        <x:f>ROUND(F323-C323,2)</x:f>
        <x:v>-870</x:v>
      </x:c>
      <x:c r="I323" s="21" t="n">
        <x:f>ROUND(E323-C323,2)</x:f>
        <x:v>-870</x:v>
      </x:c>
      <x:c r="J323" s="17" t="str">
        <x:f>IF(B323=0,"SEM SERVIÇO NA GERAL",IF(D323=0,"SEM PAGANTE NO ARQUIVO",IF(H323=0,"BATE",IF(H323&lt;0,"PAGANTES A MENOS","PAGANTES A MAIS"))))</x:f>
        <x:v>SEM PAGANTE NO ARQUIVO</x:v>
      </x:c>
    </x:row>
    <x:row r="324" ht="15" hidden="0" customHeight="1">
      <x:c r="A324" s="17" t="str">
        <x:v>OP-1354</x:v>
      </x:c>
      <x:c r="B324" s="17" t="n">
        <x:f>COUNTIF('Serviços'!$B$2:$B$1264,A324)</x:f>
        <x:v>1</x:v>
      </x:c>
      <x:c r="C324" s="21" t="n">
        <x:f>SUMIF('Serviços'!$B$2:$B$1264,A324,'Serviços'!$I$2:$I$1264)</x:f>
        <x:v>0</x:v>
      </x:c>
      <x:c r="D324" s="21" t="n">
        <x:f>COUNTIF('Pagantes'!$B$2:$B$268,A324)</x:f>
        <x:v>1</x:v>
      </x:c>
      <x:c r="E324" s="21" t="n">
        <x:f>SUMIF('Pagantes'!$B$2:$B$268,A324,'Pagantes'!$D$2:$D$268)</x:f>
        <x:v>1073</x:v>
      </x:c>
      <x:c r="F324" s="21" t="n">
        <x:f>SUMIFS('Pagantes'!$D$2:$D$268,'Pagantes'!$B$2:$B$268,A324,'Pagantes'!$E$2:$E$268,"&lt;&gt;Cancelado")</x:f>
        <x:v>0</x:v>
      </x:c>
      <x:c r="G324" s="21" t="n">
        <x:f>E324-F324</x:f>
        <x:v>1073</x:v>
      </x:c>
      <x:c r="H324" s="21" t="n">
        <x:f>ROUND(F324-C324,2)</x:f>
        <x:v>0</x:v>
      </x:c>
      <x:c r="I324" s="21" t="n">
        <x:f>ROUND(E324-C324,2)</x:f>
        <x:v>1073</x:v>
      </x:c>
      <x:c r="J324" s="17" t="str">
        <x:f>IF(B324=0,"SEM SERVIÇO NA GERAL",IF(D324=0,"SEM PAGANTE NO ARQUIVO",IF(H324=0,"BATE",IF(H324&lt;0,"PAGANTES A MENOS","PAGANTES A MAIS"))))</x:f>
        <x:v>BATE</x:v>
      </x:c>
    </x:row>
    <x:row r="325" ht="15" hidden="0" customHeight="1">
      <x:c r="A325" s="17" t="str">
        <x:v>OP-1355</x:v>
      </x:c>
      <x:c r="B325" s="17" t="n">
        <x:f>COUNTIF('Serviços'!$B$2:$B$1264,A325)</x:f>
        <x:v>1</x:v>
      </x:c>
      <x:c r="C325" s="21" t="n">
        <x:f>SUMIF('Serviços'!$B$2:$B$1264,A325,'Serviços'!$I$2:$I$1264)</x:f>
        <x:v>379</x:v>
      </x:c>
      <x:c r="D325" s="21" t="n">
        <x:f>COUNTIF('Pagantes'!$B$2:$B$268,A325)</x:f>
        <x:v>0</x:v>
      </x:c>
      <x:c r="E325" s="21" t="n">
        <x:f>SUMIF('Pagantes'!$B$2:$B$268,A325,'Pagantes'!$D$2:$D$268)</x:f>
        <x:v>0</x:v>
      </x:c>
      <x:c r="F325" s="21" t="n">
        <x:f>SUMIFS('Pagantes'!$D$2:$D$268,'Pagantes'!$B$2:$B$268,A325,'Pagantes'!$E$2:$E$268,"&lt;&gt;Cancelado")</x:f>
        <x:v>0</x:v>
      </x:c>
      <x:c r="G325" s="21" t="n">
        <x:f>E325-F325</x:f>
        <x:v>0</x:v>
      </x:c>
      <x:c r="H325" s="21" t="n">
        <x:f>ROUND(F325-C325,2)</x:f>
        <x:v>-379</x:v>
      </x:c>
      <x:c r="I325" s="21" t="n">
        <x:f>ROUND(E325-C325,2)</x:f>
        <x:v>-379</x:v>
      </x:c>
      <x:c r="J325" s="17" t="str">
        <x:f>IF(B325=0,"SEM SERVIÇO NA GERAL",IF(D325=0,"SEM PAGANTE NO ARQUIVO",IF(H325=0,"BATE",IF(H325&lt;0,"PAGANTES A MENOS","PAGANTES A MAIS"))))</x:f>
        <x:v>SEM PAGANTE NO ARQUIVO</x:v>
      </x:c>
    </x:row>
    <x:row r="326" ht="15" hidden="0" customHeight="1">
      <x:c r="A326" s="17" t="str">
        <x:v>OP-1356</x:v>
      </x:c>
      <x:c r="B326" s="17" t="n">
        <x:f>COUNTIF('Serviços'!$B$2:$B$1264,A326)</x:f>
        <x:v>1</x:v>
      </x:c>
      <x:c r="C326" s="21" t="n">
        <x:f>SUMIF('Serviços'!$B$2:$B$1264,A326,'Serviços'!$I$2:$I$1264)</x:f>
        <x:v>987.26</x:v>
      </x:c>
      <x:c r="D326" s="21" t="n">
        <x:f>COUNTIF('Pagantes'!$B$2:$B$268,A326)</x:f>
        <x:v>0</x:v>
      </x:c>
      <x:c r="E326" s="21" t="n">
        <x:f>SUMIF('Pagantes'!$B$2:$B$268,A326,'Pagantes'!$D$2:$D$268)</x:f>
        <x:v>0</x:v>
      </x:c>
      <x:c r="F326" s="21" t="n">
        <x:f>SUMIFS('Pagantes'!$D$2:$D$268,'Pagantes'!$B$2:$B$268,A326,'Pagantes'!$E$2:$E$268,"&lt;&gt;Cancelado")</x:f>
        <x:v>0</x:v>
      </x:c>
      <x:c r="G326" s="21" t="n">
        <x:f>E326-F326</x:f>
        <x:v>0</x:v>
      </x:c>
      <x:c r="H326" s="21" t="n">
        <x:f>ROUND(F326-C326,2)</x:f>
        <x:v>-987.26</x:v>
      </x:c>
      <x:c r="I326" s="21" t="n">
        <x:f>ROUND(E326-C326,2)</x:f>
        <x:v>-987.26</x:v>
      </x:c>
      <x:c r="J326" s="17" t="str">
        <x:f>IF(B326=0,"SEM SERVIÇO NA GERAL",IF(D326=0,"SEM PAGANTE NO ARQUIVO",IF(H326=0,"BATE",IF(H326&lt;0,"PAGANTES A MENOS","PAGANTES A MAIS"))))</x:f>
        <x:v>SEM PAGANTE NO ARQUIVO</x:v>
      </x:c>
    </x:row>
    <x:row r="327" ht="15" hidden="0" customHeight="1">
      <x:c r="A327" s="17" t="str">
        <x:v>OP-1357</x:v>
      </x:c>
      <x:c r="B327" s="17" t="n">
        <x:f>COUNTIF('Serviços'!$B$2:$B$1264,A327)</x:f>
        <x:v>2</x:v>
      </x:c>
      <x:c r="C327" s="21" t="n">
        <x:f>SUMIF('Serviços'!$B$2:$B$1264,A327,'Serviços'!$I$2:$I$1264)</x:f>
        <x:v>1360</x:v>
      </x:c>
      <x:c r="D327" s="21" t="n">
        <x:f>COUNTIF('Pagantes'!$B$2:$B$268,A327)</x:f>
        <x:v>0</x:v>
      </x:c>
      <x:c r="E327" s="21" t="n">
        <x:f>SUMIF('Pagantes'!$B$2:$B$268,A327,'Pagantes'!$D$2:$D$268)</x:f>
        <x:v>0</x:v>
      </x:c>
      <x:c r="F327" s="21" t="n">
        <x:f>SUMIFS('Pagantes'!$D$2:$D$268,'Pagantes'!$B$2:$B$268,A327,'Pagantes'!$E$2:$E$268,"&lt;&gt;Cancelado")</x:f>
        <x:v>0</x:v>
      </x:c>
      <x:c r="G327" s="21" t="n">
        <x:f>E327-F327</x:f>
        <x:v>0</x:v>
      </x:c>
      <x:c r="H327" s="21" t="n">
        <x:f>ROUND(F327-C327,2)</x:f>
        <x:v>-1360</x:v>
      </x:c>
      <x:c r="I327" s="21" t="n">
        <x:f>ROUND(E327-C327,2)</x:f>
        <x:v>-1360</x:v>
      </x:c>
      <x:c r="J327" s="17" t="str">
        <x:f>IF(B327=0,"SEM SERVIÇO NA GERAL",IF(D327=0,"SEM PAGANTE NO ARQUIVO",IF(H327=0,"BATE",IF(H327&lt;0,"PAGANTES A MENOS","PAGANTES A MAIS"))))</x:f>
        <x:v>SEM PAGANTE NO ARQUIVO</x:v>
      </x:c>
    </x:row>
    <x:row r="328" ht="15" hidden="0" customHeight="1">
      <x:c r="A328" s="17" t="str">
        <x:v>OP-1358</x:v>
      </x:c>
      <x:c r="B328" s="17" t="n">
        <x:f>COUNTIF('Serviços'!$B$2:$B$1264,A328)</x:f>
        <x:v>13</x:v>
      </x:c>
      <x:c r="C328" s="21" t="n">
        <x:f>SUMIF('Serviços'!$B$2:$B$1264,A328,'Serviços'!$I$2:$I$1264)</x:f>
        <x:v>8519.56</x:v>
      </x:c>
      <x:c r="D328" s="21" t="n">
        <x:f>COUNTIF('Pagantes'!$B$2:$B$268,A328)</x:f>
        <x:v>0</x:v>
      </x:c>
      <x:c r="E328" s="21" t="n">
        <x:f>SUMIF('Pagantes'!$B$2:$B$268,A328,'Pagantes'!$D$2:$D$268)</x:f>
        <x:v>0</x:v>
      </x:c>
      <x:c r="F328" s="21" t="n">
        <x:f>SUMIFS('Pagantes'!$D$2:$D$268,'Pagantes'!$B$2:$B$268,A328,'Pagantes'!$E$2:$E$268,"&lt;&gt;Cancelado")</x:f>
        <x:v>0</x:v>
      </x:c>
      <x:c r="G328" s="21" t="n">
        <x:f>E328-F328</x:f>
        <x:v>0</x:v>
      </x:c>
      <x:c r="H328" s="21" t="n">
        <x:f>ROUND(F328-C328,2)</x:f>
        <x:v>-8519.56</x:v>
      </x:c>
      <x:c r="I328" s="21" t="n">
        <x:f>ROUND(E328-C328,2)</x:f>
        <x:v>-8519.56</x:v>
      </x:c>
      <x:c r="J328" s="17" t="str">
        <x:f>IF(B328=0,"SEM SERVIÇO NA GERAL",IF(D328=0,"SEM PAGANTE NO ARQUIVO",IF(H328=0,"BATE",IF(H328&lt;0,"PAGANTES A MENOS","PAGANTES A MAIS"))))</x:f>
        <x:v>SEM PAGANTE NO ARQUIVO</x:v>
      </x:c>
    </x:row>
    <x:row r="329" ht="15" hidden="0" customHeight="1">
      <x:c r="A329" s="17" t="str">
        <x:v>OP-1359</x:v>
      </x:c>
      <x:c r="B329" s="17" t="n">
        <x:f>COUNTIF('Serviços'!$B$2:$B$1264,A329)</x:f>
        <x:v>22</x:v>
      </x:c>
      <x:c r="C329" s="21" t="n">
        <x:f>SUMIF('Serviços'!$B$2:$B$1264,A329,'Serviços'!$I$2:$I$1264)</x:f>
        <x:v>4038.930000000001</x:v>
      </x:c>
      <x:c r="D329" s="21" t="n">
        <x:f>COUNTIF('Pagantes'!$B$2:$B$268,A329)</x:f>
        <x:v>3</x:v>
      </x:c>
      <x:c r="E329" s="21" t="n">
        <x:f>SUMIF('Pagantes'!$B$2:$B$268,A329,'Pagantes'!$D$2:$D$268)</x:f>
        <x:v>4038.93</x:v>
      </x:c>
      <x:c r="F329" s="21" t="n">
        <x:f>SUMIFS('Pagantes'!$D$2:$D$268,'Pagantes'!$B$2:$B$268,A329,'Pagantes'!$E$2:$E$268,"&lt;&gt;Cancelado")</x:f>
        <x:v>4038.93</x:v>
      </x:c>
      <x:c r="G329" s="21" t="n">
        <x:f>E329-F329</x:f>
        <x:v>0</x:v>
      </x:c>
      <x:c r="H329" s="21" t="n">
        <x:f>ROUND(F329-C329,2)</x:f>
        <x:v>0</x:v>
      </x:c>
      <x:c r="I329" s="21" t="n">
        <x:f>ROUND(E329-C329,2)</x:f>
        <x:v>0</x:v>
      </x:c>
      <x:c r="J329" s="17" t="str">
        <x:f>IF(B329=0,"SEM SERVIÇO NA GERAL",IF(D329=0,"SEM PAGANTE NO ARQUIVO",IF(H329=0,"BATE",IF(H329&lt;0,"PAGANTES A MENOS","PAGANTES A MAIS"))))</x:f>
        <x:v>BATE</x:v>
      </x:c>
    </x:row>
    <x:row r="330" ht="15" hidden="0" customHeight="1">
      <x:c r="A330" s="17" t="str">
        <x:v>OP-1360</x:v>
      </x:c>
      <x:c r="B330" s="17" t="n">
        <x:f>COUNTIF('Serviços'!$B$2:$B$1264,A330)</x:f>
        <x:v>1</x:v>
      </x:c>
      <x:c r="C330" s="21" t="n">
        <x:f>SUMIF('Serviços'!$B$2:$B$1264,A330,'Serviços'!$I$2:$I$1264)</x:f>
        <x:v>2414.1</x:v>
      </x:c>
      <x:c r="D330" s="21" t="n">
        <x:f>COUNTIF('Pagantes'!$B$2:$B$268,A330)</x:f>
        <x:v>1</x:v>
      </x:c>
      <x:c r="E330" s="21" t="n">
        <x:f>SUMIF('Pagantes'!$B$2:$B$268,A330,'Pagantes'!$D$2:$D$268)</x:f>
        <x:v>2414.1</x:v>
      </x:c>
      <x:c r="F330" s="21" t="n">
        <x:f>SUMIFS('Pagantes'!$D$2:$D$268,'Pagantes'!$B$2:$B$268,A330,'Pagantes'!$E$2:$E$268,"&lt;&gt;Cancelado")</x:f>
        <x:v>2414.1</x:v>
      </x:c>
      <x:c r="G330" s="21" t="n">
        <x:f>E330-F330</x:f>
        <x:v>0</x:v>
      </x:c>
      <x:c r="H330" s="21" t="n">
        <x:f>ROUND(F330-C330,2)</x:f>
        <x:v>0</x:v>
      </x:c>
      <x:c r="I330" s="21" t="n">
        <x:f>ROUND(E330-C330,2)</x:f>
        <x:v>0</x:v>
      </x:c>
      <x:c r="J330" s="17" t="str">
        <x:f>IF(B330=0,"SEM SERVIÇO NA GERAL",IF(D330=0,"SEM PAGANTE NO ARQUIVO",IF(H330=0,"BATE",IF(H330&lt;0,"PAGANTES A MENOS","PAGANTES A MAIS"))))</x:f>
        <x:v>BATE</x:v>
      </x:c>
    </x:row>
  </x:sheetData>
  <x:conditionalFormatting sqref="J2:J330">
    <x:cfRule type="containsText" dxfId="0" priority="1" operator="containsText" text="BATE"/>
    <x:cfRule type="containsText" dxfId="1" priority="2" operator="containsText" text="MENOS"/>
    <x:cfRule type="containsText" dxfId="2" priority="3" operator="containsText" text="MAIS"/>
  </x:conditionalFormatting>
  <x:pageMargins left="0.7" right="0.7" top="0.75" bottom="0.75" header="0.3" footer="0.3"/>
  <x:tableParts count="1">
    <x:tablePart xmlns:r="http://schemas.openxmlformats.org/officeDocument/2006/relationships" r:id="Rbba7fbc429ea4db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15" hidden="0" customHeight="1">
      <x:c r="A1" s="18" t="str">
        <x:v>OP</x:v>
      </x:c>
      <x:c r="B1" s="20" t="str">
        <x:v>Qtd. serviços</x:v>
      </x:c>
      <x:c r="C1" s="20" t="str">
        <x:v>Total serviços</x:v>
      </x:c>
      <x:c r="D1" s="20" t="str">
        <x:v>Qtd. pagantes</x:v>
      </x:c>
      <x:c r="E1" s="20" t="str">
        <x:v>Total pagantes (todos)</x:v>
      </x:c>
      <x:c r="F1" s="20" t="str">
        <x:v>Pagantes ativos</x:v>
      </x:c>
      <x:c r="G1" s="20" t="str">
        <x:v>Cancelados</x:v>
      </x:c>
      <x:c r="H1" s="20" t="str">
        <x:v>Diferença ativa</x:v>
      </x:c>
      <x:c r="I1" s="20" t="str">
        <x:v>Diferença todos</x:v>
      </x:c>
      <x:c r="J1" s="19" t="str">
        <x:v>Resultado</x:v>
      </x:c>
    </x:row>
    <x:row r="2" ht="15" hidden="0" customHeight="1">
      <x:c r="A2" s="17" t="str">
        <x:v>OP-1047</x:v>
      </x:c>
      <x:c r="B2" s="17" t="n">
        <x:v>2</x:v>
      </x:c>
      <x:c r="C2" s="21" t="n">
        <x:v>1231.36</x:v>
      </x:c>
      <x:c r="D2" s="21" t="n">
        <x:v>1</x:v>
      </x:c>
      <x:c r="E2" s="21" t="n">
        <x:v>1214.36</x:v>
      </x:c>
      <x:c r="F2" s="21" t="n">
        <x:v>1214.36</x:v>
      </x:c>
      <x:c r="G2" s="21" t="n">
        <x:v>0</x:v>
      </x:c>
      <x:c r="H2" s="21" t="n">
        <x:v>-17</x:v>
      </x:c>
      <x:c r="I2" s="21" t="n">
        <x:v>-17</x:v>
      </x:c>
      <x:c r="J2" s="17" t="str">
        <x:v>PAGANTES A MENOS</x:v>
      </x:c>
    </x:row>
    <x:row r="3" ht="15" hidden="0" customHeight="1">
      <x:c r="A3" s="17" t="str">
        <x:v>OP-1066</x:v>
      </x:c>
      <x:c r="B3" s="17" t="n">
        <x:v>3</x:v>
      </x:c>
      <x:c r="C3" s="21" t="n">
        <x:v>1930.6</x:v>
      </x:c>
      <x:c r="D3" s="21" t="n">
        <x:v>3</x:v>
      </x:c>
      <x:c r="E3" s="21" t="n">
        <x:v>1930.6100000000001</x:v>
      </x:c>
      <x:c r="F3" s="21" t="n">
        <x:v>1930.6100000000001</x:v>
      </x:c>
      <x:c r="G3" s="21" t="n">
        <x:v>0</x:v>
      </x:c>
      <x:c r="H3" s="21" t="n">
        <x:v>0.01</x:v>
      </x:c>
      <x:c r="I3" s="21" t="n">
        <x:v>0.01</x:v>
      </x:c>
      <x:c r="J3" s="17" t="str">
        <x:v>PAGANTES A MAIS</x:v>
      </x:c>
    </x:row>
    <x:row r="4" ht="15" hidden="0" customHeight="1">
      <x:c r="A4" s="17" t="str">
        <x:v>OP-1103</x:v>
      </x:c>
      <x:c r="B4" s="17" t="n">
        <x:v>14</x:v>
      </x:c>
      <x:c r="C4" s="21" t="n">
        <x:v>3908.7800000000016</x:v>
      </x:c>
      <x:c r="D4" s="21" t="n">
        <x:v>1</x:v>
      </x:c>
      <x:c r="E4" s="21" t="n">
        <x:v>3171.99</x:v>
      </x:c>
      <x:c r="F4" s="21" t="n">
        <x:v>3171.99</x:v>
      </x:c>
      <x:c r="G4" s="21" t="n">
        <x:v>0</x:v>
      </x:c>
      <x:c r="H4" s="21" t="n">
        <x:v>-736.79</x:v>
      </x:c>
      <x:c r="I4" s="21" t="n">
        <x:v>-736.79</x:v>
      </x:c>
      <x:c r="J4" s="17" t="str">
        <x:v>PAGANTES A MENOS</x:v>
      </x:c>
    </x:row>
    <x:row r="5" ht="15" hidden="0" customHeight="1">
      <x:c r="A5" s="17" t="str">
        <x:v>OP-1104</x:v>
      </x:c>
      <x:c r="B5" s="17" t="n">
        <x:v>13</x:v>
      </x:c>
      <x:c r="C5" s="21" t="n">
        <x:v>2435.29</x:v>
      </x:c>
      <x:c r="D5" s="21" t="n">
        <x:v>3</x:v>
      </x:c>
      <x:c r="E5" s="21" t="n">
        <x:v>2435.2799999999997</x:v>
      </x:c>
      <x:c r="F5" s="21" t="n">
        <x:v>2435.2799999999997</x:v>
      </x:c>
      <x:c r="G5" s="21" t="n">
        <x:v>0</x:v>
      </x:c>
      <x:c r="H5" s="21" t="n">
        <x:v>-0.01</x:v>
      </x:c>
      <x:c r="I5" s="21" t="n">
        <x:v>-0.01</x:v>
      </x:c>
      <x:c r="J5" s="17" t="str">
        <x:v>PAGANTES A MENOS</x:v>
      </x:c>
    </x:row>
    <x:row r="6" ht="15" hidden="0" customHeight="1">
      <x:c r="A6" s="17" t="str">
        <x:v>OP-1121</x:v>
      </x:c>
      <x:c r="B6" s="17" t="n">
        <x:v>2</x:v>
      </x:c>
      <x:c r="C6" s="21" t="n">
        <x:v>1148.48</x:v>
      </x:c>
      <x:c r="D6" s="21" t="n">
        <x:v>1</x:v>
      </x:c>
      <x:c r="E6" s="21" t="n">
        <x:v>765.66</x:v>
      </x:c>
      <x:c r="F6" s="21" t="n">
        <x:v>765.66</x:v>
      </x:c>
      <x:c r="G6" s="21" t="n">
        <x:v>0</x:v>
      </x:c>
      <x:c r="H6" s="21" t="n">
        <x:v>-382.82</x:v>
      </x:c>
      <x:c r="I6" s="21" t="n">
        <x:v>-382.82</x:v>
      </x:c>
      <x:c r="J6" s="17" t="str">
        <x:v>PAGANTES A MENOS</x:v>
      </x:c>
    </x:row>
    <x:row r="7" ht="15" hidden="0" customHeight="1">
      <x:c r="A7" s="17" t="str">
        <x:v>OP-1163</x:v>
      </x:c>
      <x:c r="B7" s="17" t="n">
        <x:v>3</x:v>
      </x:c>
      <x:c r="C7" s="21" t="n">
        <x:v>1326.35</x:v>
      </x:c>
      <x:c r="D7" s="21" t="n">
        <x:v>4</x:v>
      </x:c>
      <x:c r="E7" s="21" t="n">
        <x:v>1326.36</x:v>
      </x:c>
      <x:c r="F7" s="21" t="n">
        <x:v>1326.36</x:v>
      </x:c>
      <x:c r="G7" s="21" t="n">
        <x:v>0</x:v>
      </x:c>
      <x:c r="H7" s="21" t="n">
        <x:v>0.01</x:v>
      </x:c>
      <x:c r="I7" s="21" t="n">
        <x:v>0.01</x:v>
      </x:c>
      <x:c r="J7" s="17" t="str">
        <x:v>PAGANTES A MAIS</x:v>
      </x:c>
    </x:row>
    <x:row r="8" ht="15" hidden="0" customHeight="1">
      <x:c r="A8" s="17" t="str">
        <x:v>OP-1170</x:v>
      </x:c>
      <x:c r="B8" s="17" t="n">
        <x:v>4</x:v>
      </x:c>
      <x:c r="C8" s="21" t="n">
        <x:v>910.4399999999999</x:v>
      </x:c>
      <x:c r="D8" s="21" t="n">
        <x:v>1</x:v>
      </x:c>
      <x:c r="E8" s="21" t="n">
        <x:v>1952.85</x:v>
      </x:c>
      <x:c r="F8" s="21" t="n">
        <x:v>1952.85</x:v>
      </x:c>
      <x:c r="G8" s="21" t="n">
        <x:v>0</x:v>
      </x:c>
      <x:c r="H8" s="21" t="n">
        <x:v>1042.41</x:v>
      </x:c>
      <x:c r="I8" s="21" t="n">
        <x:v>1042.41</x:v>
      </x:c>
      <x:c r="J8" s="17" t="str">
        <x:v>PAGANTES A MAIS</x:v>
      </x:c>
    </x:row>
    <x:row r="9" ht="15" hidden="0" customHeight="1">
      <x:c r="A9" s="17" t="str">
        <x:v>OP-1187</x:v>
      </x:c>
      <x:c r="B9" s="17" t="n">
        <x:v>40</x:v>
      </x:c>
      <x:c r="C9" s="21" t="n">
        <x:v>4047.819999999999</x:v>
      </x:c>
      <x:c r="D9" s="21" t="n">
        <x:v>1</x:v>
      </x:c>
      <x:c r="E9" s="21" t="n">
        <x:v>1674.96</x:v>
      </x:c>
      <x:c r="F9" s="21" t="n">
        <x:v>1674.96</x:v>
      </x:c>
      <x:c r="G9" s="21" t="n">
        <x:v>0</x:v>
      </x:c>
      <x:c r="H9" s="21" t="n">
        <x:v>-2372.86</x:v>
      </x:c>
      <x:c r="I9" s="21" t="n">
        <x:v>-2372.86</x:v>
      </x:c>
      <x:c r="J9" s="17" t="str">
        <x:v>PAGANTES A MENOS</x:v>
      </x:c>
    </x:row>
    <x:row r="10" ht="15" hidden="0" customHeight="1">
      <x:c r="A10" s="17" t="str">
        <x:v>OP-1208</x:v>
      </x:c>
      <x:c r="B10" s="17" t="n">
        <x:v>2</x:v>
      </x:c>
      <x:c r="C10" s="21" t="n">
        <x:v>1159.1</x:v>
      </x:c>
      <x:c r="D10" s="21" t="n">
        <x:v>2</x:v>
      </x:c>
      <x:c r="E10" s="21" t="n">
        <x:v>1159.1</x:v>
      </x:c>
      <x:c r="F10" s="21" t="n">
        <x:v>579.55</x:v>
      </x:c>
      <x:c r="G10" s="21" t="n">
        <x:v>579.55</x:v>
      </x:c>
      <x:c r="H10" s="21" t="n">
        <x:v>-579.55</x:v>
      </x:c>
      <x:c r="I10" s="21" t="n">
        <x:v>0</x:v>
      </x:c>
      <x:c r="J10" s="17" t="str">
        <x:v>PAGANTES A MENOS</x:v>
      </x:c>
    </x:row>
    <x:row r="11" ht="15" hidden="0" customHeight="1">
      <x:c r="A11" s="17" t="str">
        <x:v>OP-1218</x:v>
      </x:c>
      <x:c r="B11" s="17" t="n">
        <x:v>2</x:v>
      </x:c>
      <x:c r="C11" s="21" t="n">
        <x:v>1307.98</x:v>
      </x:c>
      <x:c r="D11" s="21" t="n">
        <x:v>3</x:v>
      </x:c>
      <x:c r="E11" s="21" t="n">
        <x:v>1307.97</x:v>
      </x:c>
      <x:c r="F11" s="21" t="n">
        <x:v>1307.97</x:v>
      </x:c>
      <x:c r="G11" s="21" t="n">
        <x:v>0</x:v>
      </x:c>
      <x:c r="H11" s="21" t="n">
        <x:v>-0.01</x:v>
      </x:c>
      <x:c r="I11" s="21" t="n">
        <x:v>-0.01</x:v>
      </x:c>
      <x:c r="J11" s="17" t="str">
        <x:v>PAGANTES A MENOS</x:v>
      </x:c>
    </x:row>
    <x:row r="12" ht="15" hidden="0" customHeight="1">
      <x:c r="A12" s="17" t="str">
        <x:v>OP-1234</x:v>
      </x:c>
      <x:c r="B12" s="17" t="n">
        <x:v>5</x:v>
      </x:c>
      <x:c r="C12" s="21" t="n">
        <x:v>2531.17</x:v>
      </x:c>
      <x:c r="D12" s="21" t="n">
        <x:v>4</x:v>
      </x:c>
      <x:c r="E12" s="21" t="n">
        <x:v>2531.16</x:v>
      </x:c>
      <x:c r="F12" s="21" t="n">
        <x:v>2531.16</x:v>
      </x:c>
      <x:c r="G12" s="21" t="n">
        <x:v>0</x:v>
      </x:c>
      <x:c r="H12" s="21" t="n">
        <x:v>-0.01</x:v>
      </x:c>
      <x:c r="I12" s="21" t="n">
        <x:v>-0.01</x:v>
      </x:c>
      <x:c r="J12" s="17" t="str">
        <x:v>PAGANTES A MENOS</x:v>
      </x:c>
    </x:row>
    <x:row r="13" ht="15" hidden="0" customHeight="1">
      <x:c r="A13" s="17" t="str">
        <x:v>OP-1267</x:v>
      </x:c>
      <x:c r="B13" s="17" t="n">
        <x:v>12</x:v>
      </x:c>
      <x:c r="C13" s="21" t="n">
        <x:v>4136.0599999999995</x:v>
      </x:c>
      <x:c r="D13" s="21" t="n">
        <x:v>2</x:v>
      </x:c>
      <x:c r="E13" s="21" t="n">
        <x:v>2891.8900000000003</x:v>
      </x:c>
      <x:c r="F13" s="21" t="n">
        <x:v>2891.8900000000003</x:v>
      </x:c>
      <x:c r="G13" s="21" t="n">
        <x:v>0</x:v>
      </x:c>
      <x:c r="H13" s="21" t="n">
        <x:v>-1244.17</x:v>
      </x:c>
      <x:c r="I13" s="21" t="n">
        <x:v>-1244.17</x:v>
      </x:c>
      <x:c r="J13" s="17" t="str">
        <x:v>PAGANTES A MENOS</x:v>
      </x:c>
    </x:row>
    <x:row r="14" ht="15" hidden="0" customHeight="1">
      <x:c r="A14" s="17" t="str">
        <x:v>OP-1286</x:v>
      </x:c>
      <x:c r="B14" s="17" t="n">
        <x:v>5</x:v>
      </x:c>
      <x:c r="C14" s="21" t="n">
        <x:v>2141.23</x:v>
      </x:c>
      <x:c r="D14" s="21" t="n">
        <x:v>1</x:v>
      </x:c>
      <x:c r="E14" s="21" t="n">
        <x:v>3212.54</x:v>
      </x:c>
      <x:c r="F14" s="21" t="n">
        <x:v>3212.54</x:v>
      </x:c>
      <x:c r="G14" s="21" t="n">
        <x:v>0</x:v>
      </x:c>
      <x:c r="H14" s="21" t="n">
        <x:v>1071.31</x:v>
      </x:c>
      <x:c r="I14" s="21" t="n">
        <x:v>1071.31</x:v>
      </x:c>
      <x:c r="J14" s="17" t="str">
        <x:v>PAGANTES A MAIS</x:v>
      </x:c>
    </x:row>
    <x:row r="15" ht="15" hidden="0" customHeight="1">
      <x:c r="A15" s="17" t="str">
        <x:v>OP-1290</x:v>
      </x:c>
      <x:c r="B15" s="17" t="n">
        <x:v>3</x:v>
      </x:c>
      <x:c r="C15" s="21" t="n">
        <x:v>1100.21</x:v>
      </x:c>
      <x:c r="D15" s="21" t="n">
        <x:v>1</x:v>
      </x:c>
      <x:c r="E15" s="21" t="n">
        <x:v>871.53</x:v>
      </x:c>
      <x:c r="F15" s="21" t="n">
        <x:v>871.53</x:v>
      </x:c>
      <x:c r="G15" s="21" t="n">
        <x:v>0</x:v>
      </x:c>
      <x:c r="H15" s="21" t="n">
        <x:v>-228.68</x:v>
      </x:c>
      <x:c r="I15" s="21" t="n">
        <x:v>-228.68</x:v>
      </x:c>
      <x:c r="J15" s="17" t="str">
        <x:v>PAGANTES A MENOS</x:v>
      </x:c>
    </x:row>
    <x:row r="16" ht="15" hidden="0" customHeight="1">
      <x:c r="A16" s="17" t="str">
        <x:v>OP-1291</x:v>
      </x:c>
      <x:c r="B16" s="17" t="n">
        <x:v>2</x:v>
      </x:c>
      <x:c r="C16" s="21" t="n">
        <x:v>925.7</x:v>
      </x:c>
      <x:c r="D16" s="21" t="n">
        <x:v>1</x:v>
      </x:c>
      <x:c r="E16" s="21" t="n">
        <x:v>711.02</x:v>
      </x:c>
      <x:c r="F16" s="21" t="n">
        <x:v>711.02</x:v>
      </x:c>
      <x:c r="G16" s="21" t="n">
        <x:v>0</x:v>
      </x:c>
      <x:c r="H16" s="21" t="n">
        <x:v>-214.68</x:v>
      </x:c>
      <x:c r="I16" s="21" t="n">
        <x:v>-214.68</x:v>
      </x:c>
      <x:c r="J16" s="17" t="str">
        <x:v>PAGANTES A MENOS</x:v>
      </x:c>
    </x:row>
    <x:row r="17" ht="15" hidden="0" customHeight="1">
      <x:c r="A17" s="17" t="str">
        <x:v>OP-1316</x:v>
      </x:c>
      <x:c r="B17" s="17" t="n">
        <x:v>1</x:v>
      </x:c>
      <x:c r="C17" s="21" t="n">
        <x:v>1360</x:v>
      </x:c>
      <x:c r="D17" s="21" t="n">
        <x:v>1</x:v>
      </x:c>
      <x:c r="E17" s="21" t="n">
        <x:v>304</x:v>
      </x:c>
      <x:c r="F17" s="21" t="n">
        <x:v>304</x:v>
      </x:c>
      <x:c r="G17" s="21" t="n">
        <x:v>0</x:v>
      </x:c>
      <x:c r="H17" s="21" t="n">
        <x:v>-1056</x:v>
      </x:c>
      <x:c r="I17" s="21" t="n">
        <x:v>-1056</x:v>
      </x:c>
      <x:c r="J17" s="17" t="str">
        <x:v>PAGANTES A MENOS</x:v>
      </x:c>
    </x:row>
  </x:sheetData>
  <x:pageMargins left="0.7" right="0.7" top="0.75" bottom="0.75" header="0.3" footer="0.3"/>
  <x:tableParts count="1">
    <x:tablePart xmlns:r="http://schemas.openxmlformats.org/officeDocument/2006/relationships" r:id="R8e66735b322b447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.75" hidden="0" customWidth="1"/>
    <x:col min="2" max="2" width="6.630000114440918" hidden="0" customWidth="1"/>
    <x:col min="3" max="3" width="10.63000011444091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12.880000114440918" hidden="0" customWidth="1"/>
  </x:cols>
  <x:sheetData>
    <x:row r="1" ht="15" hidden="0" customHeight="1">
      <x:c r="A1" s="18" t="str">
        <x:v>Linha origem</x:v>
      </x:c>
      <x:c r="B1" s="20" t="str">
        <x:v>OP</x:v>
      </x:c>
      <x:c r="C1" s="20" t="str">
        <x:v>ID serviço</x:v>
      </x:c>
      <x:c r="D1" s="20" t="str">
        <x:v>Saída</x:v>
      </x:c>
      <x:c r="E1" s="20" t="str">
        <x:v>Cliente</x:v>
      </x:c>
      <x:c r="F1" s="20" t="str">
        <x:v>Passageiro</x:v>
      </x:c>
      <x:c r="G1" s="20" t="str">
        <x:v>Status operação</x:v>
      </x:c>
      <x:c r="H1" s="20" t="str">
        <x:v>Status faturamento</x:v>
      </x:c>
      <x:c r="I1" s="19" t="str">
        <x:v>Valor serviço</x:v>
      </x:c>
    </x:row>
    <x:row r="2" ht="15" hidden="0" customHeight="1">
      <x:c r="A2" s="17" t="n">
        <x:v>2</x:v>
      </x:c>
      <x:c r="B2" s="17" t="str">
        <x:v>OP-1059</x:v>
      </x:c>
      <x:c r="C2" s="17" t="str">
        <x:v>8711</x:v>
      </x:c>
      <x:c r="D2" s="17" t="str">
        <x:v>2026-01-16 09:30:00</x:v>
      </x:c>
      <x:c r="E2" s="17" t="str">
        <x:v>Particular</x:v>
      </x:c>
      <x:c r="F2" s="17" t="str">
        <x:v>Diogo Alberto de Paula - +55 11 94106-1239</x:v>
      </x:c>
      <x:c r="G2" s="17" t="str">
        <x:v>Concluído</x:v>
      </x:c>
      <x:c r="H2" s="17" t="str">
        <x:v>Pago</x:v>
      </x:c>
      <x:c r="I2" s="21" t="n">
        <x:v>425</x:v>
      </x:c>
    </x:row>
    <x:row r="3" ht="15" hidden="0" customHeight="1">
      <x:c r="A3" s="17" t="n">
        <x:v>3</x:v>
      </x:c>
      <x:c r="B3" s="17" t="str">
        <x:v>OP-1136</x:v>
      </x:c>
      <x:c r="C3" s="17" t="str">
        <x:v>8800</x:v>
      </x:c>
      <x:c r="D3" s="17" t="str">
        <x:v>2026-02-02 06:30:00</x:v>
      </x:c>
      <x:c r="E3" s="17" t="str">
        <x:v>Eldorado do Brasil</x:v>
      </x:c>
      <x:c r="F3" s="17" t="str">
        <x:v>Carlos Roberto Paiva Monteiro - (12) 9 9713-2722</x:v>
      </x:c>
      <x:c r="G3" s="17" t="str">
        <x:v>Concluído</x:v>
      </x:c>
      <x:c r="H3" s="17" t="str">
        <x:v>Pago</x:v>
      </x:c>
      <x:c r="I3" s="21" t="n">
        <x:v>0</x:v>
      </x:c>
    </x:row>
    <x:row r="4" ht="15" hidden="0" customHeight="1">
      <x:c r="A4" s="17" t="n">
        <x:v>4</x:v>
      </x:c>
      <x:c r="B4" s="17" t="str">
        <x:v>OP-1136</x:v>
      </x:c>
      <x:c r="C4" s="17" t="str">
        <x:v>8801</x:v>
      </x:c>
      <x:c r="D4" s="17" t="str">
        <x:v>2026-02-06 15:30:00</x:v>
      </x:c>
      <x:c r="E4" s="17" t="str">
        <x:v>Eldorado do Brasil</x:v>
      </x:c>
      <x:c r="F4" s="17" t="str">
        <x:v>Carlos Roberto Paiva Monteiro - (12) 9 9713-2722</x:v>
      </x:c>
      <x:c r="G4" s="17" t="str">
        <x:v>Concluído</x:v>
      </x:c>
      <x:c r="H4" s="17" t="str">
        <x:v>Pago</x:v>
      </x:c>
      <x:c r="I4" s="21" t="n">
        <x:v>0</x:v>
      </x:c>
    </x:row>
    <x:row r="5" ht="15" hidden="0" customHeight="1">
      <x:c r="A5" s="17" t="n">
        <x:v>5</x:v>
      </x:c>
      <x:c r="B5" s="17" t="str">
        <x:v>OP-1136</x:v>
      </x:c>
      <x:c r="C5" s="17" t="str">
        <x:v>8987</x:v>
      </x:c>
      <x:c r="D5" s="17" t="str">
        <x:v>2026-02-23 06:30:00</x:v>
      </x:c>
      <x:c r="E5" s="17" t="str">
        <x:v>Eldorado do Brasil</x:v>
      </x:c>
      <x:c r="F5" s="17" t="str">
        <x:v>Carlos Roberto Paiva Monteiro - (12) 9 9713-2722</x:v>
      </x:c>
      <x:c r="G5" s="17" t="str">
        <x:v>Concluído</x:v>
      </x:c>
      <x:c r="H5" s="17" t="str">
        <x:v>Pago</x:v>
      </x:c>
      <x:c r="I5" s="21" t="n">
        <x:v>0</x:v>
      </x:c>
    </x:row>
    <x:row r="6" ht="15" hidden="0" customHeight="1">
      <x:c r="A6" s="17" t="n">
        <x:v>6</x:v>
      </x:c>
      <x:c r="B6" s="17" t="str">
        <x:v>OP-1136</x:v>
      </x:c>
      <x:c r="C6" s="17" t="str">
        <x:v>8988</x:v>
      </x:c>
      <x:c r="D6" s="17" t="str">
        <x:v>2026-02-27 15:30:00</x:v>
      </x:c>
      <x:c r="E6" s="17" t="str">
        <x:v>Eldorado do Brasil</x:v>
      </x:c>
      <x:c r="F6" s="17" t="str">
        <x:v>Carlos Roberto Paiva Monteiro - (12) 9 9713-2722</x:v>
      </x:c>
      <x:c r="G6" s="17" t="str">
        <x:v>Concluído</x:v>
      </x:c>
      <x:c r="H6" s="17" t="str">
        <x:v>Pago</x:v>
      </x:c>
      <x:c r="I6" s="21" t="n">
        <x:v>0</x:v>
      </x:c>
    </x:row>
    <x:row r="7" ht="15" hidden="0" customHeight="1">
      <x:c r="A7" s="17" t="n">
        <x:v>7</x:v>
      </x:c>
      <x:c r="B7" s="17" t="str">
        <x:v>OP-1136</x:v>
      </x:c>
      <x:c r="C7" s="17" t="str">
        <x:v>9104</x:v>
      </x:c>
      <x:c r="D7" s="17" t="str">
        <x:v>2026-03-09 06:30:00</x:v>
      </x:c>
      <x:c r="E7" s="17" t="str">
        <x:v>Eldorado do Brasil</x:v>
      </x:c>
      <x:c r="F7" s="17" t="str">
        <x:v>Carlos Roberto Paiva Monteiro - (12) 9 9713-2722</x:v>
      </x:c>
      <x:c r="G7" s="17" t="str">
        <x:v>Concluído</x:v>
      </x:c>
      <x:c r="H7" s="17" t="str">
        <x:v>Pago</x:v>
      </x:c>
      <x:c r="I7" s="21" t="n">
        <x:v>0</x:v>
      </x:c>
    </x:row>
    <x:row r="8" ht="15" hidden="0" customHeight="1">
      <x:c r="A8" s="17" t="n">
        <x:v>8</x:v>
      </x:c>
      <x:c r="B8" s="17" t="str">
        <x:v>OP-1136</x:v>
      </x:c>
      <x:c r="C8" s="17" t="str">
        <x:v>9105</x:v>
      </x:c>
      <x:c r="D8" s="17" t="str">
        <x:v>2026-03-13 15:30:00</x:v>
      </x:c>
      <x:c r="E8" s="17" t="str">
        <x:v>Eldorado do Brasil</x:v>
      </x:c>
      <x:c r="F8" s="17" t="str">
        <x:v>Carlos Roberto Paiva Monteiro - (12) 9 9713-2722</x:v>
      </x:c>
      <x:c r="G8" s="17" t="str">
        <x:v>Concluído</x:v>
      </x:c>
      <x:c r="H8" s="17" t="str">
        <x:v>Pago</x:v>
      </x:c>
      <x:c r="I8" s="21" t="n">
        <x:v>0</x:v>
      </x:c>
    </x:row>
    <x:row r="9" ht="15" hidden="0" customHeight="1">
      <x:c r="A9" s="17" t="n">
        <x:v>9</x:v>
      </x:c>
      <x:c r="B9" s="17" t="str">
        <x:v>OP-1136</x:v>
      </x:c>
      <x:c r="C9" s="17" t="str">
        <x:v>9312</x:v>
      </x:c>
      <x:c r="D9" s="17" t="str">
        <x:v>2026-03-23 06:30:00</x:v>
      </x:c>
      <x:c r="E9" s="17" t="str">
        <x:v>Eldorado do Brasil</x:v>
      </x:c>
      <x:c r="F9" s="17" t="str">
        <x:v>Carlos Roberto Paiva Monteiro - (12) 9 9713-2722</x:v>
      </x:c>
      <x:c r="G9" s="17" t="str">
        <x:v>Concluído</x:v>
      </x:c>
      <x:c r="H9" s="17" t="str">
        <x:v>Pago</x:v>
      </x:c>
      <x:c r="I9" s="21" t="n">
        <x:v>0</x:v>
      </x:c>
    </x:row>
    <x:row r="10" ht="15" hidden="0" customHeight="1">
      <x:c r="A10" s="17" t="n">
        <x:v>10</x:v>
      </x:c>
      <x:c r="B10" s="17" t="str">
        <x:v>OP-1136</x:v>
      </x:c>
      <x:c r="C10" s="17" t="str">
        <x:v>9313</x:v>
      </x:c>
      <x:c r="D10" s="17" t="str">
        <x:v>2026-03-27 15:20:00</x:v>
      </x:c>
      <x:c r="E10" s="17" t="str">
        <x:v>Eldorado do Brasil</x:v>
      </x:c>
      <x:c r="F10" s="17" t="str">
        <x:v>Carlos Roberto Paiva Monteiro - (12) 9 9713-2722</x:v>
      </x:c>
      <x:c r="G10" s="17" t="str">
        <x:v>Concluído</x:v>
      </x:c>
      <x:c r="H10" s="17" t="str">
        <x:v>Pago</x:v>
      </x:c>
      <x:c r="I10" s="21" t="n">
        <x:v>0</x:v>
      </x:c>
    </x:row>
    <x:row r="11" ht="15" hidden="0" customHeight="1">
      <x:c r="A11" s="17" t="n">
        <x:v>11</x:v>
      </x:c>
      <x:c r="B11" s="17" t="str">
        <x:v>OP-1022</x:v>
      </x:c>
      <x:c r="C11" s="17" t="str">
        <x:v>9155</x:v>
      </x:c>
      <x:c r="D11" s="17" t="str">
        <x:v>2026-03-31 05:00:00</x:v>
      </x:c>
      <x:c r="E11" s="17" t="str">
        <x:v>Johnson&amp;Johnson</x:v>
      </x:c>
      <x:c r="F11" s="17" t="str">
        <x:v>William Mattel - +1 (770) 540-5621</x:v>
      </x:c>
      <x:c r="G11" s="17" t="str">
        <x:v>Concluído</x:v>
      </x:c>
      <x:c r="H11" s="17" t="str">
        <x:v>Pago</x:v>
      </x:c>
      <x:c r="I11" s="21" t="n">
        <x:v>442.98</x:v>
      </x:c>
    </x:row>
    <x:row r="12" ht="15" hidden="0" customHeight="1">
      <x:c r="A12" s="17" t="n">
        <x:v>12</x:v>
      </x:c>
      <x:c r="B12" s="17" t="str">
        <x:v>OP-1022</x:v>
      </x:c>
      <x:c r="C12" s="17" t="str">
        <x:v>9160</x:v>
      </x:c>
      <x:c r="D12" s="17" t="str">
        <x:v>2026-03-31 16:00:00</x:v>
      </x:c>
      <x:c r="E12" s="17" t="str">
        <x:v>Johnson&amp;Johnson</x:v>
      </x:c>
      <x:c r="F12" s="17" t="str">
        <x:v>William Mattel - +1 (770) 540-5621</x:v>
      </x:c>
      <x:c r="G12" s="17" t="str">
        <x:v>Confirmado</x:v>
      </x:c>
      <x:c r="H12" s="17" t="str">
        <x:v>Pago</x:v>
      </x:c>
      <x:c r="I12" s="21" t="n">
        <x:v>442.98</x:v>
      </x:c>
    </x:row>
    <x:row r="13" ht="15" hidden="0" customHeight="1">
      <x:c r="A13" s="17" t="n">
        <x:v>13</x:v>
      </x:c>
      <x:c r="B13" s="17" t="str">
        <x:v>OP-1016</x:v>
      </x:c>
      <x:c r="C13" s="17" t="str">
        <x:v>9402</x:v>
      </x:c>
      <x:c r="D13" s="17" t="str">
        <x:v>2026-04-01 04:00:00</x:v>
      </x:c>
      <x:c r="E13" s="17" t="str">
        <x:v>Boeing</x:v>
      </x:c>
      <x:c r="F13" s="17" t="str">
        <x:v>Suzy Higashibara - +55 12 99177‑8455</x:v>
      </x:c>
      <x:c r="G13" s="17" t="str">
        <x:v>Concluído</x:v>
      </x:c>
      <x:c r="H13" s="17" t="str">
        <x:v>Pago</x:v>
      </x:c>
      <x:c r="I13" s="21" t="n">
        <x:v>811.17</x:v>
      </x:c>
    </x:row>
    <x:row r="14" ht="15" hidden="0" customHeight="1">
      <x:c r="A14" s="17" t="n">
        <x:v>14</x:v>
      </x:c>
      <x:c r="B14" s="17" t="str">
        <x:v>OP-1022</x:v>
      </x:c>
      <x:c r="C14" s="17" t="str">
        <x:v>9156</x:v>
      </x:c>
      <x:c r="D14" s="17" t="str">
        <x:v>2026-04-01 04:50:00</x:v>
      </x:c>
      <x:c r="E14" s="17" t="str">
        <x:v>Johnson&amp;Johnson</x:v>
      </x:c>
      <x:c r="F14" s="17" t="str">
        <x:v>William Mattel - +1 (770) 540-5621</x:v>
      </x:c>
      <x:c r="G14" s="17" t="str">
        <x:v>Concluído</x:v>
      </x:c>
      <x:c r="H14" s="17" t="str">
        <x:v>Pago</x:v>
      </x:c>
      <x:c r="I14" s="21" t="n">
        <x:v>442.98</x:v>
      </x:c>
    </x:row>
    <x:row r="15" ht="15" hidden="0" customHeight="1">
      <x:c r="A15" s="17" t="n">
        <x:v>15</x:v>
      </x:c>
      <x:c r="B15" s="17" t="str">
        <x:v>OP-1219</x:v>
      </x:c>
      <x:c r="C15" s="17" t="str">
        <x:v>9412</x:v>
      </x:c>
      <x:c r="D15" s="17" t="str">
        <x:v>2026-04-01 05:00:00</x:v>
      </x:c>
      <x:c r="E15" s="17" t="str">
        <x:v>Embraer</x:v>
      </x:c>
      <x:c r="F15" s="17" t="str">
        <x:v>ANDRE LUIZ RODRIGUES DE SOUZA - (16)9817-79174</x:v>
      </x:c>
      <x:c r="G15" s="17" t="str">
        <x:v>Concluído</x:v>
      </x:c>
      <x:c r="H15" s="17" t="str">
        <x:v>Pago</x:v>
      </x:c>
      <x:c r="I15" s="21" t="n">
        <x:v>872.31</x:v>
      </x:c>
    </x:row>
    <x:row r="16" ht="15" hidden="0" customHeight="1">
      <x:c r="A16" s="17" t="n">
        <x:v>16</x:v>
      </x:c>
      <x:c r="B16" s="17" t="str">
        <x:v>OP-1007</x:v>
      </x:c>
      <x:c r="C16" s="17" t="str">
        <x:v>9411</x:v>
      </x:c>
      <x:c r="D16" s="17" t="str">
        <x:v>2026-04-01 05:45:00</x:v>
      </x:c>
      <x:c r="E16" s="17" t="str">
        <x:v>Johnson&amp;Johnson</x:v>
      </x:c>
      <x:c r="F16" s="17" t="str">
        <x:v>Tatiana Avelar Lopes - 12 991128591 / Samir Nogueira</x:v>
      </x:c>
      <x:c r="G16" s="17" t="str">
        <x:v>Concluído</x:v>
      </x:c>
      <x:c r="H16" s="17" t="str">
        <x:v>Pago</x:v>
      </x:c>
      <x:c r="I16" s="21" t="n">
        <x:v>1060.44</x:v>
      </x:c>
    </x:row>
    <x:row r="17" ht="48" hidden="0" customHeight="1">
      <x:c r="A17" s="17" t="n">
        <x:v>17</x:v>
      </x:c>
      <x:c r="B17" s="17" t="str">
        <x:v>OP-1219</x:v>
      </x:c>
      <x:c r="C17" s="17" t="str">
        <x:v>OS-4264</x:v>
      </x:c>
      <x:c r="D17" s="17" t="str">
        <x:v>2026-04-01 06:30:00</x:v>
      </x:c>
      <x:c r="E17" s="17" t="str">
        <x:v>Embraer</x:v>
      </x:c>
      <x:c r="F17" s="17" t="str">
        <x:v>MAIARA CAROLINA POLICIANO DE SOUZA - (16) 99221-3104;
CAMILA RIBEIRO - (12) 98185-4854;
ANELIZA ALVARENGA DA SILVA - (12) 99775-3071;
FRANCINE DA SILVA SANTOS - (12) 99612-3663</x:v>
      </x:c>
      <x:c r="G17" s="17" t="str">
        <x:v>Concluído</x:v>
      </x:c>
      <x:c r="H17" s="17" t="str">
        <x:v>Pago</x:v>
      </x:c>
      <x:c r="I17" s="21" t="n">
        <x:v>1910.89</x:v>
      </x:c>
    </x:row>
    <x:row r="18" ht="15" hidden="0" customHeight="1">
      <x:c r="A18" s="17" t="n">
        <x:v>18</x:v>
      </x:c>
      <x:c r="B18" s="17" t="str">
        <x:v>OP-1193</x:v>
      </x:c>
      <x:c r="C18" s="17" t="str">
        <x:v>OS-4267</x:v>
      </x:c>
      <x:c r="D18" s="17" t="str">
        <x:v>2026-04-01 07:30:00</x:v>
      </x:c>
      <x:c r="E18" s="17" t="str">
        <x:v>Johnson&amp;Johnson</x:v>
      </x:c>
      <x:c r="F18" s="17" t="str">
        <x:v>Vivian Calado - 12997696958</x:v>
      </x:c>
      <x:c r="G18" s="17" t="str">
        <x:v>Concluído</x:v>
      </x:c>
      <x:c r="H18" s="17" t="str">
        <x:v>Pago</x:v>
      </x:c>
      <x:c r="I18" s="21" t="n">
        <x:v>1990</x:v>
      </x:c>
    </x:row>
    <x:row r="19" ht="15" hidden="0" customHeight="1">
      <x:c r="A19" s="17" t="n">
        <x:v>19</x:v>
      </x:c>
      <x:c r="B19" s="17" t="str">
        <x:v>OP-1193</x:v>
      </x:c>
      <x:c r="C19" s="17" t="str">
        <x:v>OS-4270</x:v>
      </x:c>
      <x:c r="D19" s="17" t="str">
        <x:v>2026-04-01 07:30:00</x:v>
      </x:c>
      <x:c r="E19" s="17" t="str">
        <x:v>Johnson&amp;Johnson</x:v>
      </x:c>
      <x:c r="F19" s="17" t="str">
        <x:v>Vivian Calado - 12997696958</x:v>
      </x:c>
      <x:c r="G19" s="17" t="str">
        <x:v>Concluído</x:v>
      </x:c>
      <x:c r="H19" s="17" t="str">
        <x:v>Pago</x:v>
      </x:c>
      <x:c r="I19" s="21" t="n">
        <x:v>0</x:v>
      </x:c>
    </x:row>
    <x:row r="20" ht="15" hidden="0" customHeight="1">
      <x:c r="A20" s="17" t="n">
        <x:v>20</x:v>
      </x:c>
      <x:c r="B20" s="17" t="str">
        <x:v>OP-1193</x:v>
      </x:c>
      <x:c r="C20" s="17" t="str">
        <x:v>OS-4271</x:v>
      </x:c>
      <x:c r="D20" s="17" t="str">
        <x:v>2026-04-01 07:30:00</x:v>
      </x:c>
      <x:c r="E20" s="17" t="str">
        <x:v>Johnson&amp;Johnson</x:v>
      </x:c>
      <x:c r="F20" s="17" t="str">
        <x:v>Vivian Calado - 12997696958</x:v>
      </x:c>
      <x:c r="G20" s="17" t="str">
        <x:v>Concluído</x:v>
      </x:c>
      <x:c r="H20" s="17" t="str">
        <x:v>Pago</x:v>
      </x:c>
      <x:c r="I20" s="21" t="n">
        <x:v>0</x:v>
      </x:c>
    </x:row>
    <x:row r="21" ht="15" hidden="0" customHeight="1">
      <x:c r="A21" s="17" t="n">
        <x:v>21</x:v>
      </x:c>
      <x:c r="B21" s="17" t="str">
        <x:v>OP-1020</x:v>
      </x:c>
      <x:c r="C21" s="17" t="str">
        <x:v>OS-3999</x:v>
      </x:c>
      <x:c r="D21" s="17" t="str">
        <x:v>2026-04-01 07:45:00</x:v>
      </x:c>
      <x:c r="E21" s="17" t="str">
        <x:v>Johnson&amp;Johnson</x:v>
      </x:c>
      <x:c r="F21" s="17" t="str">
        <x:v>Lorena Maldonado / Albert Ekin - +1 707 344 2812 / Chip Mosteller</x:v>
      </x:c>
      <x:c r="G21" s="17" t="str">
        <x:v>Concluído</x:v>
      </x:c>
      <x:c r="H21" s="17" t="str">
        <x:v>Pago</x:v>
      </x:c>
      <x:c r="I21" s="21" t="n">
        <x:v>173.51</x:v>
      </x:c>
    </x:row>
    <x:row r="22" ht="15" hidden="0" customHeight="1">
      <x:c r="A22" s="17" t="n">
        <x:v>22</x:v>
      </x:c>
      <x:c r="B22" s="17" t="str">
        <x:v>OP-1021</x:v>
      </x:c>
      <x:c r="C22" s="17" t="str">
        <x:v>9377</x:v>
      </x:c>
      <x:c r="D22" s="17" t="str">
        <x:v>2026-04-01 07:45:00</x:v>
      </x:c>
      <x:c r="E22" s="17" t="str">
        <x:v>Johnson&amp;Johnson</x:v>
      </x:c>
      <x:c r="F22" s="17" t="str">
        <x:v>Lorena Maldonado / Albert Ekin - +1 707 344 2812 / Chip Mosteller</x:v>
      </x:c>
      <x:c r="G22" s="17" t="str">
        <x:v>Concluído</x:v>
      </x:c>
      <x:c r="H22" s="17" t="str">
        <x:v>Pago</x:v>
      </x:c>
      <x:c r="I22" s="21" t="n">
        <x:v>173.51</x:v>
      </x:c>
    </x:row>
    <x:row r="23" ht="15" hidden="0" customHeight="1">
      <x:c r="A23" s="17" t="n">
        <x:v>23</x:v>
      </x:c>
      <x:c r="B23" s="17" t="str">
        <x:v>OP-1219</x:v>
      </x:c>
      <x:c r="C23" s="17" t="str">
        <x:v>OS-4265</x:v>
      </x:c>
      <x:c r="D23" s="17" t="str">
        <x:v>2026-04-01 09:00:00</x:v>
      </x:c>
      <x:c r="E23" s="17" t="str">
        <x:v>Embraer</x:v>
      </x:c>
      <x:c r="F23" s="17" t="str">
        <x:v>NATALIA ROCHA NUNES - (12) 98812-4541</x:v>
      </x:c>
      <x:c r="G23" s="17" t="str">
        <x:v>Concluído</x:v>
      </x:c>
      <x:c r="H23" s="17" t="str">
        <x:v>Pago</x:v>
      </x:c>
      <x:c r="I23" s="21" t="n">
        <x:v>766.52</x:v>
      </x:c>
    </x:row>
    <x:row r="24" ht="36" hidden="0" customHeight="1">
      <x:c r="A24" s="17" t="n">
        <x:v>24</x:v>
      </x:c>
      <x:c r="B24" s="17" t="str">
        <x:v>OP-1219</x:v>
      </x:c>
      <x:c r="C24" s="17" t="str">
        <x:v>OS-4003</x:v>
      </x:c>
      <x:c r="D24" s="17" t="str">
        <x:v>2026-04-01 10:00:00</x:v>
      </x:c>
      <x:c r="E24" s="17" t="str">
        <x:v>Embraer</x:v>
      </x:c>
      <x:c r="F24" s="17" t="str">
        <x:v>ADRIANO BRUNELLI - (12)8811-2116;
MURILO PINTO RIBEIRO - (12)9820-81643;
ROBERVAL ANTONIO MESQUIARI - (12) 99182-4858</x:v>
      </x:c>
      <x:c r="G24" s="17" t="str">
        <x:v>Concluído</x:v>
      </x:c>
      <x:c r="H24" s="17" t="str">
        <x:v>Pago</x:v>
      </x:c>
      <x:c r="I24" s="21" t="n">
        <x:v>1517.28</x:v>
      </x:c>
    </x:row>
    <x:row r="25" ht="15" hidden="0" customHeight="1">
      <x:c r="A25" s="17" t="n">
        <x:v>25</x:v>
      </x:c>
      <x:c r="B25" s="17" t="str">
        <x:v>OP-1014</x:v>
      </x:c>
      <x:c r="C25" s="17" t="str">
        <x:v>9175</x:v>
      </x:c>
      <x:c r="D25" s="17" t="str">
        <x:v>2026-04-01 14:00:00</x:v>
      </x:c>
      <x:c r="E25" s="17" t="str">
        <x:v>Johnson&amp;Johnson</x:v>
      </x:c>
      <x:c r="F25" s="17" t="str">
        <x:v>Brian McCluney - +1 919-602-4357</x:v>
      </x:c>
      <x:c r="G25" s="17" t="str">
        <x:v>Concluído</x:v>
      </x:c>
      <x:c r="H25" s="17" t="str">
        <x:v>Pago</x:v>
      </x:c>
      <x:c r="I25" s="21" t="n">
        <x:v>509.42</x:v>
      </x:c>
    </x:row>
    <x:row r="26" ht="15" hidden="0" customHeight="1">
      <x:c r="A26" s="17" t="n">
        <x:v>26</x:v>
      </x:c>
      <x:c r="B26" s="17" t="str">
        <x:v>OP-1010</x:v>
      </x:c>
      <x:c r="C26" s="17" t="str">
        <x:v>9378</x:v>
      </x:c>
      <x:c r="D26" s="17" t="str">
        <x:v>2026-04-01 15:00:00</x:v>
      </x:c>
      <x:c r="E26" s="17" t="str">
        <x:v>Johnson&amp;Johnson</x:v>
      </x:c>
      <x:c r="F26" s="17" t="str">
        <x:v>Lorena Maldonado</x:v>
      </x:c>
      <x:c r="G26" s="17" t="str">
        <x:v>Concluído</x:v>
      </x:c>
      <x:c r="H26" s="17" t="str">
        <x:v>Pago</x:v>
      </x:c>
      <x:c r="I26" s="21" t="n">
        <x:v>682.93</x:v>
      </x:c>
    </x:row>
    <x:row r="27" ht="15" hidden="0" customHeight="1">
      <x:c r="A27" s="17" t="n">
        <x:v>27</x:v>
      </x:c>
      <x:c r="B27" s="17" t="str">
        <x:v>OP-1022</x:v>
      </x:c>
      <x:c r="C27" s="17" t="str">
        <x:v>9161</x:v>
      </x:c>
      <x:c r="D27" s="17" t="str">
        <x:v>2026-04-01 16:00:00</x:v>
      </x:c>
      <x:c r="E27" s="17" t="str">
        <x:v>Johnson&amp;Johnson</x:v>
      </x:c>
      <x:c r="F27" s="17" t="str">
        <x:v>William Mattel - +1 (770) 540-5621</x:v>
      </x:c>
      <x:c r="G27" s="17" t="str">
        <x:v>Concluído</x:v>
      </x:c>
      <x:c r="H27" s="17" t="str">
        <x:v>Pago</x:v>
      </x:c>
      <x:c r="I27" s="21" t="n">
        <x:v>442.98</x:v>
      </x:c>
    </x:row>
    <x:row r="28" ht="15" hidden="0" customHeight="1">
      <x:c r="A28" s="17" t="n">
        <x:v>28</x:v>
      </x:c>
      <x:c r="B28" s="17" t="str">
        <x:v>OP-1021</x:v>
      </x:c>
      <x:c r="C28" s="17" t="str">
        <x:v>OS-4000</x:v>
      </x:c>
      <x:c r="D28" s="17" t="str">
        <x:v>2026-04-01 17:00:00</x:v>
      </x:c>
      <x:c r="E28" s="17" t="str">
        <x:v>Johnson&amp;Johnson</x:v>
      </x:c>
      <x:c r="F28" s="17" t="str">
        <x:v>Albert Ekin - +1 707 344 2812 / Chip Mosteller</x:v>
      </x:c>
      <x:c r="G28" s="17" t="str">
        <x:v>Concluído</x:v>
      </x:c>
      <x:c r="H28" s="17" t="str">
        <x:v>Pago</x:v>
      </x:c>
      <x:c r="I28" s="21" t="n">
        <x:v>329.14</x:v>
      </x:c>
    </x:row>
    <x:row r="29" ht="24" hidden="0" customHeight="1">
      <x:c r="A29" s="17" t="n">
        <x:v>29</x:v>
      </x:c>
      <x:c r="B29" s="17" t="str">
        <x:v>OP-1021</x:v>
      </x:c>
      <x:c r="C29" s="17" t="str">
        <x:v>OS-4020</x:v>
      </x:c>
      <x:c r="D29" s="17" t="str">
        <x:v>2026-04-01 19:00:00</x:v>
      </x:c>
      <x:c r="E29" s="17" t="str">
        <x:v>Johnson&amp;Johnson</x:v>
      </x:c>
      <x:c r="F29" s="17" t="str">
        <x:v>Albert Ekin - +1 707 344 2812;
Chip Mosteller - indeterminado</x:v>
      </x:c>
      <x:c r="G29" s="17" t="str">
        <x:v>Concluído</x:v>
      </x:c>
      <x:c r="H29" s="17" t="str">
        <x:v>Pago</x:v>
      </x:c>
      <x:c r="I29" s="21" t="n">
        <x:v>160.51</x:v>
      </x:c>
    </x:row>
    <x:row r="30" ht="15" hidden="0" customHeight="1">
      <x:c r="A30" s="17" t="n">
        <x:v>30</x:v>
      </x:c>
      <x:c r="B30" s="17" t="str">
        <x:v>OP-1022</x:v>
      </x:c>
      <x:c r="C30" s="17" t="str">
        <x:v>9157</x:v>
      </x:c>
      <x:c r="D30" s="17" t="str">
        <x:v>2026-04-02 05:00:00</x:v>
      </x:c>
      <x:c r="E30" s="17" t="str">
        <x:v>Johnson&amp;Johnson</x:v>
      </x:c>
      <x:c r="F30" s="17" t="str">
        <x:v>William Mattel - +1 (770) 540-5621</x:v>
      </x:c>
      <x:c r="G30" s="17" t="str">
        <x:v>Concluído</x:v>
      </x:c>
      <x:c r="H30" s="17" t="str">
        <x:v>Pago</x:v>
      </x:c>
      <x:c r="I30" s="21" t="n">
        <x:v>442.98</x:v>
      </x:c>
    </x:row>
    <x:row r="31" ht="15" hidden="0" customHeight="1">
      <x:c r="A31" s="17" t="n">
        <x:v>31</x:v>
      </x:c>
      <x:c r="B31" s="17" t="str">
        <x:v>OP-1032</x:v>
      </x:c>
      <x:c r="C31" s="17" t="str">
        <x:v>OS-4008</x:v>
      </x:c>
      <x:c r="D31" s="17" t="str">
        <x:v>2026-04-02 07:15:00</x:v>
      </x:c>
      <x:c r="E31" s="17" t="str">
        <x:v>Johnson&amp;Johnson</x:v>
      </x:c>
      <x:c r="F31" s="17" t="str">
        <x:v>Marcela Scardua - +55 12 98104-4020</x:v>
      </x:c>
      <x:c r="G31" s="17" t="str">
        <x:v>Concluído</x:v>
      </x:c>
      <x:c r="H31" s="17" t="str">
        <x:v>Pago</x:v>
      </x:c>
      <x:c r="I31" s="21" t="n">
        <x:v>620.49</x:v>
      </x:c>
    </x:row>
    <x:row r="32" ht="15" hidden="0" customHeight="1">
      <x:c r="A32" s="17" t="n">
        <x:v>32</x:v>
      </x:c>
      <x:c r="B32" s="17" t="str">
        <x:v>OP-1021</x:v>
      </x:c>
      <x:c r="C32" s="17" t="str">
        <x:v>9379</x:v>
      </x:c>
      <x:c r="D32" s="17" t="str">
        <x:v>2026-04-02 08:45:00</x:v>
      </x:c>
      <x:c r="E32" s="17" t="str">
        <x:v>Johnson&amp;Johnson</x:v>
      </x:c>
      <x:c r="F32" s="17" t="str">
        <x:v>Albert Ekin - +1 707 344 2812 / Chip Mosteller</x:v>
      </x:c>
      <x:c r="G32" s="17" t="str">
        <x:v>Concluído</x:v>
      </x:c>
      <x:c r="H32" s="17" t="str">
        <x:v>Pago</x:v>
      </x:c>
      <x:c r="I32" s="21" t="n">
        <x:v>173.51</x:v>
      </x:c>
    </x:row>
    <x:row r="33" ht="15" hidden="0" customHeight="1">
      <x:c r="A33" s="17" t="n">
        <x:v>33</x:v>
      </x:c>
      <x:c r="B33" s="17" t="str">
        <x:v>OP-1219</x:v>
      </x:c>
      <x:c r="C33" s="17" t="str">
        <x:v>OS-4027</x:v>
      </x:c>
      <x:c r="D33" s="17" t="str">
        <x:v>2026-04-02 09:00:00</x:v>
      </x:c>
      <x:c r="E33" s="17" t="str">
        <x:v>Embraer</x:v>
      </x:c>
      <x:c r="F33" s="17" t="str">
        <x:v>MARIA EDUARDA DIAS - +55 12 99687-0875</x:v>
      </x:c>
      <x:c r="G33" s="17" t="str">
        <x:v>Concluído</x:v>
      </x:c>
      <x:c r="H33" s="17" t="str">
        <x:v>Pago</x:v>
      </x:c>
      <x:c r="I33" s="21" t="n">
        <x:v>730.5</x:v>
      </x:c>
    </x:row>
    <x:row r="34" ht="15" hidden="0" customHeight="1">
      <x:c r="A34" s="17" t="n">
        <x:v>34</x:v>
      </x:c>
      <x:c r="B34" s="17" t="str">
        <x:v>OP-1219</x:v>
      </x:c>
      <x:c r="C34" s="17" t="str">
        <x:v>OS-4030</x:v>
      </x:c>
      <x:c r="D34" s="17" t="str">
        <x:v>2026-04-02 10:30:00</x:v>
      </x:c>
      <x:c r="E34" s="17" t="str">
        <x:v>Embraer</x:v>
      </x:c>
      <x:c r="F34" s="17" t="str">
        <x:v>FERNANDA DE CASTRO PESSOA - (21) 99265-0461</x:v>
      </x:c>
      <x:c r="G34" s="17" t="str">
        <x:v>Concluído</x:v>
      </x:c>
      <x:c r="H34" s="17" t="str">
        <x:v>Pago</x:v>
      </x:c>
      <x:c r="I34" s="21" t="n">
        <x:v>554.94</x:v>
      </x:c>
    </x:row>
    <x:row r="35" ht="24" hidden="0" customHeight="1">
      <x:c r="A35" s="17" t="n">
        <x:v>35</x:v>
      </x:c>
      <x:c r="B35" s="17" t="str">
        <x:v>OP-1021</x:v>
      </x:c>
      <x:c r="C35" s="17" t="str">
        <x:v>OS-4024</x:v>
      </x:c>
      <x:c r="D35" s="17" t="str">
        <x:v>2026-04-02 12:00:00</x:v>
      </x:c>
      <x:c r="E35" s="17" t="str">
        <x:v>Johnson&amp;Johnson</x:v>
      </x:c>
      <x:c r="F35" s="17" t="str">
        <x:v>Albert Ekin - +1 707 344 2812;
Chip Mosteller - indeterminado</x:v>
      </x:c>
      <x:c r="G35" s="17" t="str">
        <x:v>Concluído</x:v>
      </x:c>
      <x:c r="H35" s="17" t="str">
        <x:v>Pago</x:v>
      </x:c>
      <x:c r="I35" s="21" t="n">
        <x:v>489.65</x:v>
      </x:c>
    </x:row>
    <x:row r="36" ht="15" hidden="0" customHeight="1">
      <x:c r="A36" s="17" t="n">
        <x:v>36</x:v>
      </x:c>
      <x:c r="B36" s="17" t="str">
        <x:v>OP-1219</x:v>
      </x:c>
      <x:c r="C36" s="17" t="str">
        <x:v>OS-4873</x:v>
      </x:c>
      <x:c r="D36" s="17" t="str">
        <x:v>2026-04-02 15:30:00</x:v>
      </x:c>
      <x:c r="E36" s="17" t="str">
        <x:v>Embraer</x:v>
      </x:c>
      <x:c r="F36" s="17" t="str">
        <x:v>Transporte F300 - indeterminado</x:v>
      </x:c>
      <x:c r="G36" s="17" t="str">
        <x:v>Concluído</x:v>
      </x:c>
      <x:c r="H36" s="17" t="str">
        <x:v>Pago</x:v>
      </x:c>
      <x:c r="I36" s="21" t="n">
        <x:v>397.1</x:v>
      </x:c>
    </x:row>
    <x:row r="37" ht="15" hidden="0" customHeight="1">
      <x:c r="A37" s="17" t="n">
        <x:v>37</x:v>
      </x:c>
      <x:c r="B37" s="17" t="str">
        <x:v>OP-1022</x:v>
      </x:c>
      <x:c r="C37" s="17" t="str">
        <x:v>9162</x:v>
      </x:c>
      <x:c r="D37" s="17" t="str">
        <x:v>2026-04-02 15:40:00</x:v>
      </x:c>
      <x:c r="E37" s="17" t="str">
        <x:v>Johnson&amp;Johnson</x:v>
      </x:c>
      <x:c r="F37" s="17" t="str">
        <x:v>William Mattel - +1 (770) 540-5621</x:v>
      </x:c>
      <x:c r="G37" s="17" t="str">
        <x:v>Concluído</x:v>
      </x:c>
      <x:c r="H37" s="17" t="str">
        <x:v>Pago</x:v>
      </x:c>
      <x:c r="I37" s="21" t="n">
        <x:v>442.98</x:v>
      </x:c>
    </x:row>
    <x:row r="38" ht="15" hidden="0" customHeight="1">
      <x:c r="A38" s="17" t="n">
        <x:v>38</x:v>
      </x:c>
      <x:c r="B38" s="17" t="str">
        <x:v>OP-1013</x:v>
      </x:c>
      <x:c r="C38" s="17" t="str">
        <x:v>9389</x:v>
      </x:c>
      <x:c r="D38" s="17" t="str">
        <x:v>2026-04-02 16:00:00</x:v>
      </x:c>
      <x:c r="E38" s="17" t="str">
        <x:v>Johnson&amp;Johnson</x:v>
      </x:c>
      <x:c r="F38" s="17" t="str">
        <x:v>Diego Mejias</x:v>
      </x:c>
      <x:c r="G38" s="17" t="str">
        <x:v>Concluído</x:v>
      </x:c>
      <x:c r="H38" s="17" t="str">
        <x:v>Pago</x:v>
      </x:c>
      <x:c r="I38" s="21" t="n">
        <x:v>1172.94</x:v>
      </x:c>
    </x:row>
    <x:row r="39" ht="15" hidden="0" customHeight="1">
      <x:c r="A39" s="17" t="n">
        <x:v>39</x:v>
      </x:c>
      <x:c r="B39" s="17" t="str">
        <x:v>OP-1021</x:v>
      </x:c>
      <x:c r="C39" s="17" t="str">
        <x:v>9380</x:v>
      </x:c>
      <x:c r="D39" s="17" t="str">
        <x:v>2026-04-02 16:30:00</x:v>
      </x:c>
      <x:c r="E39" s="17" t="str">
        <x:v>Johnson&amp;Johnson</x:v>
      </x:c>
      <x:c r="F39" s="17" t="str">
        <x:v>Albert Ekin - +1 707 344 2812 / Chip Mosteller</x:v>
      </x:c>
      <x:c r="G39" s="17" t="str">
        <x:v>Concluído</x:v>
      </x:c>
      <x:c r="H39" s="17" t="str">
        <x:v>Pago</x:v>
      </x:c>
      <x:c r="I39" s="21" t="n">
        <x:v>509.42</x:v>
      </x:c>
    </x:row>
    <x:row r="40" ht="15" hidden="0" customHeight="1">
      <x:c r="A40" s="17" t="n">
        <x:v>40</x:v>
      </x:c>
      <x:c r="B40" s="17" t="str">
        <x:v>OP-1012</x:v>
      </x:c>
      <x:c r="C40" s="17" t="str">
        <x:v>9320</x:v>
      </x:c>
      <x:c r="D40" s="17" t="str">
        <x:v>2026-04-02 16:30:00</x:v>
      </x:c>
      <x:c r="E40" s="17" t="str">
        <x:v>Johnson&amp;Johnson</x:v>
      </x:c>
      <x:c r="F40" s="17" t="str">
        <x:v>Everton de Paula Leite - (12) 99128-0735</x:v>
      </x:c>
      <x:c r="G40" s="17" t="str">
        <x:v>Concluído</x:v>
      </x:c>
      <x:c r="H40" s="17" t="str">
        <x:v>Pago</x:v>
      </x:c>
      <x:c r="I40" s="21" t="n">
        <x:v>558.86</x:v>
      </x:c>
    </x:row>
    <x:row r="41" ht="15" hidden="0" customHeight="1">
      <x:c r="A41" s="17" t="n">
        <x:v>41</x:v>
      </x:c>
      <x:c r="B41" s="17" t="str">
        <x:v>OP-1124</x:v>
      </x:c>
      <x:c r="C41" s="17" t="str">
        <x:v>9398</x:v>
      </x:c>
      <x:c r="D41" s="17" t="str">
        <x:v>2026-04-02 19:00:00</x:v>
      </x:c>
      <x:c r="E41" s="17" t="str">
        <x:v>BeCooper</x:v>
      </x:c>
      <x:c r="F41" s="17" t="str">
        <x:v>Priscila Dangelo - 12 99146-1674</x:v>
      </x:c>
      <x:c r="G41" s="17" t="str">
        <x:v>Concluído</x:v>
      </x:c>
      <x:c r="H41" s="17" t="str">
        <x:v>Pago</x:v>
      </x:c>
      <x:c r="I41" s="21" t="n">
        <x:v>549</x:v>
      </x:c>
    </x:row>
    <x:row r="42" ht="15" hidden="0" customHeight="1">
      <x:c r="A42" s="17" t="n">
        <x:v>42</x:v>
      </x:c>
      <x:c r="B42" s="17" t="str">
        <x:v>OP-1043</x:v>
      </x:c>
      <x:c r="C42" s="17" t="str">
        <x:v>9385</x:v>
      </x:c>
      <x:c r="D42" s="17" t="str">
        <x:v>2026-04-02 21:30:00</x:v>
      </x:c>
      <x:c r="E42" s="17" t="str">
        <x:v>Johnson&amp;Johnson</x:v>
      </x:c>
      <x:c r="F42" s="17" t="str">
        <x:v>Daniel Passos - 12 98819-4726 / Paula Bonifazi - 12 98824-7581</x:v>
      </x:c>
      <x:c r="G42" s="17" t="str">
        <x:v>Concluído</x:v>
      </x:c>
      <x:c r="H42" s="17" t="str">
        <x:v>Pago</x:v>
      </x:c>
      <x:c r="I42" s="21" t="n">
        <x:v>558.86</x:v>
      </x:c>
    </x:row>
    <x:row r="43" ht="15" hidden="0" customHeight="1">
      <x:c r="A43" s="17" t="n">
        <x:v>43</x:v>
      </x:c>
      <x:c r="B43" s="17" t="str">
        <x:v>OP-1044</x:v>
      </x:c>
      <x:c r="C43" s="17" t="str">
        <x:v>9387</x:v>
      </x:c>
      <x:c r="D43" s="17" t="str">
        <x:v>2026-04-02 21:30:00</x:v>
      </x:c>
      <x:c r="E43" s="17" t="str">
        <x:v>Johnson&amp;Johnson</x:v>
      </x:c>
      <x:c r="F43" s="17" t="str">
        <x:v>Priscila Helena de Camargo - 12 99221-4481 / Esmeralda Macedo - 12 99765-8932 / Wesley Almeida - 12 98870-8878</x:v>
      </x:c>
      <x:c r="G43" s="17" t="str">
        <x:v>Concluído</x:v>
      </x:c>
      <x:c r="H43" s="17" t="str">
        <x:v>Pago</x:v>
      </x:c>
      <x:c r="I43" s="21" t="n">
        <x:v>607.74</x:v>
      </x:c>
    </x:row>
    <x:row r="44" ht="15" hidden="0" customHeight="1">
      <x:c r="A44" s="17" t="n">
        <x:v>44</x:v>
      </x:c>
      <x:c r="B44" s="17" t="str">
        <x:v>OP-1015</x:v>
      </x:c>
      <x:c r="C44" s="17" t="str">
        <x:v>9122</x:v>
      </x:c>
      <x:c r="D44" s="17" t="str">
        <x:v>2026-04-03 20:30:00</x:v>
      </x:c>
      <x:c r="E44" s="17" t="str">
        <x:v>Boeing</x:v>
      </x:c>
      <x:c r="F44" s="17" t="str">
        <x:v>Carlos Mourao - 12 981132570</x:v>
      </x:c>
      <x:c r="G44" s="17" t="str">
        <x:v>Concluído</x:v>
      </x:c>
      <x:c r="H44" s="17" t="str">
        <x:v>Pago</x:v>
      </x:c>
      <x:c r="I44" s="21" t="n">
        <x:v>463.05</x:v>
      </x:c>
    </x:row>
    <x:row r="45" ht="15" hidden="0" customHeight="1">
      <x:c r="A45" s="17" t="n">
        <x:v>45</x:v>
      </x:c>
      <x:c r="B45" s="17" t="str">
        <x:v>OP-1219</x:v>
      </x:c>
      <x:c r="C45" s="17" t="str">
        <x:v>OS-4026</x:v>
      </x:c>
      <x:c r="D45" s="17" t="str">
        <x:v>2026-04-03 20:55:00</x:v>
      </x:c>
      <x:c r="E45" s="17" t="str">
        <x:v>Embraer</x:v>
      </x:c>
      <x:c r="F45" s="17" t="str">
        <x:v>ALBERTO HENRIQUE DE TOLEDO SALES GOMIDE - (11) 95032-3814</x:v>
      </x:c>
      <x:c r="G45" s="17" t="str">
        <x:v>Concluído</x:v>
      </x:c>
      <x:c r="H45" s="17" t="str">
        <x:v>Pago</x:v>
      </x:c>
      <x:c r="I45" s="21" t="n">
        <x:v>464.1</x:v>
      </x:c>
    </x:row>
    <x:row r="46" ht="15" hidden="0" customHeight="1">
      <x:c r="A46" s="17" t="n">
        <x:v>46</x:v>
      </x:c>
      <x:c r="B46" s="17" t="str">
        <x:v>OP-1019</x:v>
      </x:c>
      <x:c r="C46" s="17" t="str">
        <x:v>OS-4058</x:v>
      </x:c>
      <x:c r="D46" s="17" t="str">
        <x:v>2026-04-04 05:35:00</x:v>
      </x:c>
      <x:c r="E46" s="17" t="str">
        <x:v>Boeing</x:v>
      </x:c>
      <x:c r="F46" s="17" t="str">
        <x:v>André Dias Henriques - (12)991032225</x:v>
      </x:c>
      <x:c r="G46" s="17" t="str">
        <x:v>Confirmado</x:v>
      </x:c>
      <x:c r="H46" s="17" t="str">
        <x:v>Pago</x:v>
      </x:c>
      <x:c r="I46" s="21" t="n">
        <x:v>463.05</x:v>
      </x:c>
    </x:row>
    <x:row r="47" ht="15" hidden="0" customHeight="1">
      <x:c r="A47" s="17" t="n">
        <x:v>47</x:v>
      </x:c>
      <x:c r="B47" s="17" t="str">
        <x:v>OP-1009</x:v>
      </x:c>
      <x:c r="C47" s="17" t="str">
        <x:v>9337</x:v>
      </x:c>
      <x:c r="D47" s="17" t="str">
        <x:v>2026-04-04 06:50:00</x:v>
      </x:c>
      <x:c r="E47" s="17" t="str">
        <x:v>Kenvue</x:v>
      </x:c>
      <x:c r="F47" s="17" t="str">
        <x:v>Kelly Vaaleria de Oliveira Souza - +55 12 98128-4310</x:v>
      </x:c>
      <x:c r="G47" s="17" t="str">
        <x:v>Concluído</x:v>
      </x:c>
      <x:c r="H47" s="17" t="str">
        <x:v>Pago</x:v>
      </x:c>
      <x:c r="I47" s="21" t="n">
        <x:v>496.35</x:v>
      </x:c>
    </x:row>
    <x:row r="48" ht="15" hidden="0" customHeight="1">
      <x:c r="A48" s="17" t="n">
        <x:v>48</x:v>
      </x:c>
      <x:c r="B48" s="17" t="str">
        <x:v>OP-1219</x:v>
      </x:c>
      <x:c r="C48" s="17" t="str">
        <x:v>OS-4039</x:v>
      </x:c>
      <x:c r="D48" s="17" t="str">
        <x:v>2026-04-04 18:45:00</x:v>
      </x:c>
      <x:c r="E48" s="17" t="str">
        <x:v>Embraer</x:v>
      </x:c>
      <x:c r="F48" s="17" t="str">
        <x:v>CIRO TOKASIKI - (12) 98156-8925</x:v>
      </x:c>
      <x:c r="G48" s="17" t="str">
        <x:v>Concluído</x:v>
      </x:c>
      <x:c r="H48" s="17" t="str">
        <x:v>Pago</x:v>
      </x:c>
      <x:c r="I48" s="21" t="n">
        <x:v>397.1</x:v>
      </x:c>
    </x:row>
    <x:row r="49" ht="15" hidden="0" customHeight="1">
      <x:c r="A49" s="17" t="n">
        <x:v>49</x:v>
      </x:c>
      <x:c r="B49" s="17" t="str">
        <x:v>OP-1219</x:v>
      </x:c>
      <x:c r="C49" s="17" t="str">
        <x:v>OS-4040</x:v>
      </x:c>
      <x:c r="D49" s="17" t="str">
        <x:v>2026-04-04 19:30:00</x:v>
      </x:c>
      <x:c r="E49" s="17" t="str">
        <x:v>Embraer</x:v>
      </x:c>
      <x:c r="F49" s="17" t="str">
        <x:v>LUCIANO FERREIRA DE CASTRO - (12) 98162-0651</x:v>
      </x:c>
      <x:c r="G49" s="17" t="str">
        <x:v>Concluído</x:v>
      </x:c>
      <x:c r="H49" s="17" t="str">
        <x:v>Pago</x:v>
      </x:c>
      <x:c r="I49" s="21" t="n">
        <x:v>397.1</x:v>
      </x:c>
    </x:row>
    <x:row r="50" ht="15" hidden="0" customHeight="1">
      <x:c r="A50" s="17" t="n">
        <x:v>50</x:v>
      </x:c>
      <x:c r="B50" s="17" t="str">
        <x:v>OP-1017</x:v>
      </x:c>
      <x:c r="C50" s="17" t="str">
        <x:v>OS-4046</x:v>
      </x:c>
      <x:c r="D50" s="17" t="str">
        <x:v>2026-04-04 19:55:00</x:v>
      </x:c>
      <x:c r="E50" s="17" t="str">
        <x:v>Boeing</x:v>
      </x:c>
      <x:c r="F50" s="17" t="str">
        <x:v>Marcelo Rodolfo De Assis - 12-981222772</x:v>
      </x:c>
      <x:c r="G50" s="17" t="str">
        <x:v>Concluído</x:v>
      </x:c>
      <x:c r="H50" s="17" t="str">
        <x:v>Pago</x:v>
      </x:c>
      <x:c r="I50" s="21" t="n">
        <x:v>463.05</x:v>
      </x:c>
    </x:row>
    <x:row r="51" ht="15" hidden="0" customHeight="1">
      <x:c r="A51" s="17" t="n">
        <x:v>51</x:v>
      </x:c>
      <x:c r="B51" s="17" t="str">
        <x:v>OP-1033</x:v>
      </x:c>
      <x:c r="C51" s="17" t="str">
        <x:v>9248</x:v>
      </x:c>
      <x:c r="D51" s="17" t="str">
        <x:v>2026-04-04 22:30:00</x:v>
      </x:c>
      <x:c r="E51" s="17" t="str">
        <x:v>Johnson&amp;Johnson</x:v>
      </x:c>
      <x:c r="F51" s="17" t="str">
        <x:v>Bruno Bertoni de Paula - +55 12 99644 4510</x:v>
      </x:c>
      <x:c r="G51" s="17" t="str">
        <x:v>Concluído</x:v>
      </x:c>
      <x:c r="H51" s="17" t="str">
        <x:v>Pago</x:v>
      </x:c>
      <x:c r="I51" s="21" t="n">
        <x:v>603.49</x:v>
      </x:c>
    </x:row>
    <x:row r="52" ht="24" hidden="0" customHeight="1">
      <x:c r="A52" s="17" t="n">
        <x:v>52</x:v>
      </x:c>
      <x:c r="B52" s="17" t="str">
        <x:v>OP-1219</x:v>
      </x:c>
      <x:c r="C52" s="17" t="str">
        <x:v>OS-4047</x:v>
      </x:c>
      <x:c r="D52" s="17" t="str">
        <x:v>2026-04-05 05:35:00</x:v>
      </x:c>
      <x:c r="E52" s="17" t="str">
        <x:v>Embraer</x:v>
      </x:c>
      <x:c r="F52" s="17" t="str">
        <x:v>Chadrick Johnson - ENVOY - indeterminado;
David Walraven - indeterminado</x:v>
      </x:c>
      <x:c r="G52" s="17" t="str">
        <x:v>Concluído</x:v>
      </x:c>
      <x:c r="H52" s="17" t="str">
        <x:v>Pago</x:v>
      </x:c>
      <x:c r="I52" s="21" t="n">
        <x:v>464.1</x:v>
      </x:c>
    </x:row>
    <x:row r="53" ht="15" hidden="0" customHeight="1">
      <x:c r="A53" s="17" t="n">
        <x:v>53</x:v>
      </x:c>
      <x:c r="B53" s="17" t="str">
        <x:v>OP-1219</x:v>
      </x:c>
      <x:c r="C53" s="17" t="str">
        <x:v>OS-4053</x:v>
      </x:c>
      <x:c r="D53" s="17" t="str">
        <x:v>2026-04-05 06:45:00</x:v>
      </x:c>
      <x:c r="E53" s="17" t="str">
        <x:v>Embraer</x:v>
      </x:c>
      <x:c r="F53" s="17" t="str">
        <x:v>ANDRE DANTAS DE MEDEIROS MACHADO - (12) 99108-5516</x:v>
      </x:c>
      <x:c r="G53" s="17" t="str">
        <x:v>Concluído</x:v>
      </x:c>
      <x:c r="H53" s="17" t="str">
        <x:v>Pago</x:v>
      </x:c>
      <x:c r="I53" s="21" t="n">
        <x:v>464.1</x:v>
      </x:c>
    </x:row>
    <x:row r="54" ht="24" hidden="0" customHeight="1">
      <x:c r="A54" s="17" t="n">
        <x:v>54</x:v>
      </x:c>
      <x:c r="B54" s="17" t="str">
        <x:v>OP-1219</x:v>
      </x:c>
      <x:c r="C54" s="17" t="str">
        <x:v>OS-4048</x:v>
      </x:c>
      <x:c r="D54" s="17" t="str">
        <x:v>2026-04-05 07:30:00</x:v>
      </x:c>
      <x:c r="E54" s="17" t="str">
        <x:v>Embraer</x:v>
      </x:c>
      <x:c r="F54" s="17" t="str">
        <x:v>AURELIO ROJO VENCES - indeterminado;
JOSE ALFREDO MARTINEZ GUERRERO - +52 55 15289103</x:v>
      </x:c>
      <x:c r="G54" s="17" t="str">
        <x:v>Concluído</x:v>
      </x:c>
      <x:c r="H54" s="17" t="str">
        <x:v>Pago</x:v>
      </x:c>
      <x:c r="I54" s="21" t="n">
        <x:v>464.1</x:v>
      </x:c>
    </x:row>
    <x:row r="55" ht="24" hidden="0" customHeight="1">
      <x:c r="A55" s="17" t="n">
        <x:v>55</x:v>
      </x:c>
      <x:c r="B55" s="17" t="str">
        <x:v>OP-1091</x:v>
      </x:c>
      <x:c r="C55" s="17" t="str">
        <x:v>OS-4052</x:v>
      </x:c>
      <x:c r="D55" s="17" t="str">
        <x:v>2026-04-05 08:30:00</x:v>
      </x:c>
      <x:c r="E55" s="17" t="str">
        <x:v>Johnson&amp;Johnson</x:v>
      </x:c>
      <x:c r="F55" s="17" t="str">
        <x:v>JACK RAWLE - indeterminado;
ROBERT KLEIN - indeterminado</x:v>
      </x:c>
      <x:c r="G55" s="17" t="str">
        <x:v>Concluído</x:v>
      </x:c>
      <x:c r="H55" s="17" t="str">
        <x:v>Pago</x:v>
      </x:c>
      <x:c r="I55" s="21" t="n">
        <x:v>780.56</x:v>
      </x:c>
    </x:row>
    <x:row r="56" ht="24" hidden="0" customHeight="1">
      <x:c r="A56" s="17" t="n">
        <x:v>56</x:v>
      </x:c>
      <x:c r="B56" s="17" t="str">
        <x:v>OP-1219</x:v>
      </x:c>
      <x:c r="C56" s="17" t="str">
        <x:v>OS-4049</x:v>
      </x:c>
      <x:c r="D56" s="17" t="str">
        <x:v>2026-04-05 09:00:00</x:v>
      </x:c>
      <x:c r="E56" s="17" t="str">
        <x:v>Embraer</x:v>
      </x:c>
      <x:c r="F56" s="17" t="str">
        <x:v>Neal Devine - indeterminado;
Rick Vohden - indeterminado</x:v>
      </x:c>
      <x:c r="G56" s="17" t="str">
        <x:v>Concluído</x:v>
      </x:c>
      <x:c r="H56" s="17" t="str">
        <x:v>Pago</x:v>
      </x:c>
      <x:c r="I56" s="21" t="n">
        <x:v>450.05</x:v>
      </x:c>
    </x:row>
    <x:row r="57" ht="15" hidden="0" customHeight="1">
      <x:c r="A57" s="17" t="n">
        <x:v>57</x:v>
      </x:c>
      <x:c r="B57" s="17" t="str">
        <x:v>OP-1038</x:v>
      </x:c>
      <x:c r="C57" s="17" t="str">
        <x:v>OS-4033</x:v>
      </x:c>
      <x:c r="D57" s="17" t="str">
        <x:v>2026-04-05 11:00:00</x:v>
      </x:c>
      <x:c r="E57" s="17" t="str">
        <x:v>Particular</x:v>
      </x:c>
      <x:c r="F57" s="17" t="str">
        <x:v>Sra. Angela Oliveira - +55 11 98134-8101</x:v>
      </x:c>
      <x:c r="G57" s="17" t="str">
        <x:v>Concluído</x:v>
      </x:c>
      <x:c r="H57" s="17" t="str">
        <x:v>Pago</x:v>
      </x:c>
      <x:c r="I57" s="21" t="n">
        <x:v>650</x:v>
      </x:c>
    </x:row>
    <x:row r="58" ht="15" hidden="0" customHeight="1">
      <x:c r="A58" s="17" t="n">
        <x:v>58</x:v>
      </x:c>
      <x:c r="B58" s="17" t="str">
        <x:v>OP-1219</x:v>
      </x:c>
      <x:c r="C58" s="17" t="str">
        <x:v>OS-4050</x:v>
      </x:c>
      <x:c r="D58" s="17" t="str">
        <x:v>2026-04-05 14:00:00</x:v>
      </x:c>
      <x:c r="E58" s="17" t="str">
        <x:v>Embraer</x:v>
      </x:c>
      <x:c r="F58" s="17" t="str">
        <x:v>LUCIANA MARCOS VIT SONNEWEND - (12)9761-4886</x:v>
      </x:c>
      <x:c r="G58" s="17" t="str">
        <x:v>Concluído</x:v>
      </x:c>
      <x:c r="H58" s="17" t="str">
        <x:v>Pago</x:v>
      </x:c>
      <x:c r="I58" s="21" t="n">
        <x:v>397.1</x:v>
      </x:c>
    </x:row>
    <x:row r="59" ht="24" hidden="0" customHeight="1">
      <x:c r="A59" s="17" t="n">
        <x:v>59</x:v>
      </x:c>
      <x:c r="B59" s="17" t="str">
        <x:v>OP-1056</x:v>
      </x:c>
      <x:c r="C59" s="17" t="str">
        <x:v>OS-4060</x:v>
      </x:c>
      <x:c r="D59" s="17" t="str">
        <x:v>2026-04-05 17:00:00</x:v>
      </x:c>
      <x:c r="E59" s="17" t="str">
        <x:v>Boeing</x:v>
      </x:c>
      <x:c r="F59" s="17" t="str">
        <x:v>Rodrigo Ventura - +55 12 97403-8375;
Silvia Alves - indeterminado</x:v>
      </x:c>
      <x:c r="G59" s="17" t="str">
        <x:v>Concluído</x:v>
      </x:c>
      <x:c r="H59" s="17" t="str">
        <x:v>Pago</x:v>
      </x:c>
      <x:c r="I59" s="21" t="n">
        <x:v>445.97</x:v>
      </x:c>
    </x:row>
    <x:row r="60" ht="15" hidden="0" customHeight="1">
      <x:c r="A60" s="17" t="n">
        <x:v>60</x:v>
      </x:c>
      <x:c r="B60" s="17" t="str">
        <x:v>OP-1219</x:v>
      </x:c>
      <x:c r="C60" s="17" t="str">
        <x:v>OS-4059</x:v>
      </x:c>
      <x:c r="D60" s="17" t="str">
        <x:v>2026-04-05 18:30:00</x:v>
      </x:c>
      <x:c r="E60" s="17" t="str">
        <x:v>Embraer</x:v>
      </x:c>
      <x:c r="F60" s="17" t="str">
        <x:v>VALERIA XAVIER ROCHA - (12) 99669-1919</x:v>
      </x:c>
      <x:c r="G60" s="17" t="str">
        <x:v>Concluído</x:v>
      </x:c>
      <x:c r="H60" s="17" t="str">
        <x:v>Pago</x:v>
      </x:c>
      <x:c r="I60" s="21" t="n">
        <x:v>502.89</x:v>
      </x:c>
    </x:row>
    <x:row r="61" ht="15" hidden="0" customHeight="1">
      <x:c r="A61" s="17" t="n">
        <x:v>61</x:v>
      </x:c>
      <x:c r="B61" s="17" t="str">
        <x:v>OP-1028</x:v>
      </x:c>
      <x:c r="C61" s="17" t="str">
        <x:v>OS-4069</x:v>
      </x:c>
      <x:c r="D61" s="17" t="str">
        <x:v>2026-04-05 19:00:00</x:v>
      </x:c>
      <x:c r="E61" s="17" t="str">
        <x:v>Boeing</x:v>
      </x:c>
      <x:c r="F61" s="17" t="str">
        <x:v>Fabio Truffa - indeterminado</x:v>
      </x:c>
      <x:c r="G61" s="17" t="str">
        <x:v>Confirmado</x:v>
      </x:c>
      <x:c r="H61" s="17" t="str">
        <x:v>Pago</x:v>
      </x:c>
      <x:c r="I61" s="21" t="n">
        <x:v>396.05</x:v>
      </x:c>
    </x:row>
    <x:row r="62" ht="15" hidden="0" customHeight="1">
      <x:c r="A62" s="17" t="n">
        <x:v>62</x:v>
      </x:c>
      <x:c r="B62" s="17" t="str">
        <x:v>OP-1219</x:v>
      </x:c>
      <x:c r="C62" s="17" t="str">
        <x:v>OS-4051</x:v>
      </x:c>
      <x:c r="D62" s="17" t="str">
        <x:v>2026-04-05 21:00:00</x:v>
      </x:c>
      <x:c r="E62" s="17" t="str">
        <x:v>Embraer</x:v>
      </x:c>
      <x:c r="F62" s="17" t="str">
        <x:v>ALESSANDRA DE NOVAES RUBIRA PITA - (12)9704-2561</x:v>
      </x:c>
      <x:c r="G62" s="17" t="str">
        <x:v>Concluído</x:v>
      </x:c>
      <x:c r="H62" s="17" t="str">
        <x:v>Pago</x:v>
      </x:c>
      <x:c r="I62" s="21" t="n">
        <x:v>464.1</x:v>
      </x:c>
    </x:row>
    <x:row r="63" ht="15" hidden="0" customHeight="1">
      <x:c r="A63" s="17" t="n">
        <x:v>63</x:v>
      </x:c>
      <x:c r="B63" s="17" t="str">
        <x:v>OP-1031</x:v>
      </x:c>
      <x:c r="C63" s="17" t="str">
        <x:v>9321</x:v>
      </x:c>
      <x:c r="D63" s="17" t="str">
        <x:v>2026-04-05 21:30:00</x:v>
      </x:c>
      <x:c r="E63" s="17" t="str">
        <x:v>Johnson&amp;Johnson</x:v>
      </x:c>
      <x:c r="F63" s="17" t="str">
        <x:v>Marcelo Moreira - (12) 99169-0099</x:v>
      </x:c>
      <x:c r="G63" s="17" t="str">
        <x:v>Concluído</x:v>
      </x:c>
      <x:c r="H63" s="17" t="str">
        <x:v>Pago</x:v>
      </x:c>
      <x:c r="I63" s="21" t="n">
        <x:v>442.98</x:v>
      </x:c>
    </x:row>
    <x:row r="64" ht="15" hidden="0" customHeight="1">
      <x:c r="A64" s="17" t="n">
        <x:v>64</x:v>
      </x:c>
      <x:c r="B64" s="17" t="str">
        <x:v>OP-1124</x:v>
      </x:c>
      <x:c r="C64" s="17" t="str">
        <x:v>OS-4031</x:v>
      </x:c>
      <x:c r="D64" s="17" t="str">
        <x:v>2026-04-06 03:30:00</x:v>
      </x:c>
      <x:c r="E64" s="17" t="str">
        <x:v>BeCooper</x:v>
      </x:c>
      <x:c r="F64" s="17" t="str">
        <x:v>Jackeline Silva - (35) 9995-6286</x:v>
      </x:c>
      <x:c r="G64" s="17" t="str">
        <x:v>Concluído</x:v>
      </x:c>
      <x:c r="H64" s="17" t="str">
        <x:v>Pago</x:v>
      </x:c>
      <x:c r="I64" s="21" t="n">
        <x:v>890</x:v>
      </x:c>
    </x:row>
    <x:row r="65" ht="15" hidden="0" customHeight="1">
      <x:c r="A65" s="17" t="n">
        <x:v>65</x:v>
      </x:c>
      <x:c r="B65" s="17" t="str">
        <x:v>OP-1219</x:v>
      </x:c>
      <x:c r="C65" s="17" t="str">
        <x:v>OS-4062</x:v>
      </x:c>
      <x:c r="D65" s="17" t="str">
        <x:v>2026-04-06 04:15:00</x:v>
      </x:c>
      <x:c r="E65" s="17" t="str">
        <x:v>Embraer</x:v>
      </x:c>
      <x:c r="F65" s="17" t="str">
        <x:v>ROOSEVELT ROQUE FERREIRA - (12) 98193-0517</x:v>
      </x:c>
      <x:c r="G65" s="17" t="str">
        <x:v>Concluído</x:v>
      </x:c>
      <x:c r="H65" s="17" t="str">
        <x:v>Pago</x:v>
      </x:c>
      <x:c r="I65" s="21" t="n">
        <x:v>1083.89</x:v>
      </x:c>
    </x:row>
    <x:row r="66" ht="15" hidden="0" customHeight="1">
      <x:c r="A66" s="17" t="n">
        <x:v>66</x:v>
      </x:c>
      <x:c r="B66" s="17" t="str">
        <x:v>OP-1025</x:v>
      </x:c>
      <x:c r="C66" s="17" t="str">
        <x:v>OS-4061</x:v>
      </x:c>
      <x:c r="D66" s="17" t="str">
        <x:v>2026-04-06 04:40:00</x:v>
      </x:c>
      <x:c r="E66" s="17" t="str">
        <x:v>Particular</x:v>
      </x:c>
      <x:c r="F66" s="17" t="str">
        <x:v>Diego Augusto de Paula - +55 12 98809-6040</x:v>
      </x:c>
      <x:c r="G66" s="17" t="str">
        <x:v>Concluído</x:v>
      </x:c>
      <x:c r="H66" s="17" t="str">
        <x:v>Pago</x:v>
      </x:c>
      <x:c r="I66" s="21" t="n">
        <x:v>300</x:v>
      </x:c>
    </x:row>
    <x:row r="67" ht="15" hidden="0" customHeight="1">
      <x:c r="A67" s="17" t="n">
        <x:v>67</x:v>
      </x:c>
      <x:c r="B67" s="17" t="str">
        <x:v>OP-1219</x:v>
      </x:c>
      <x:c r="C67" s="17" t="str">
        <x:v>OS-4074</x:v>
      </x:c>
      <x:c r="D67" s="17" t="str">
        <x:v>2026-04-06 05:00:00</x:v>
      </x:c>
      <x:c r="E67" s="17" t="str">
        <x:v>Embraer</x:v>
      </x:c>
      <x:c r="F67" s="17" t="str">
        <x:v>HUGO RAFAEL THOMAZELLI PELOGIA - (19) 99809-5271</x:v>
      </x:c>
      <x:c r="G67" s="17" t="str">
        <x:v>Concluído</x:v>
      </x:c>
      <x:c r="H67" s="17" t="str">
        <x:v>Pago</x:v>
      </x:c>
      <x:c r="I67" s="21" t="n">
        <x:v>796.1</x:v>
      </x:c>
    </x:row>
    <x:row r="68" ht="15" hidden="0" customHeight="1">
      <x:c r="A68" s="17" t="n">
        <x:v>68</x:v>
      </x:c>
      <x:c r="B68" s="17" t="str">
        <x:v>OP-1221</x:v>
      </x:c>
      <x:c r="C68" s="17" t="str">
        <x:v>9413</x:v>
      </x:c>
      <x:c r="D68" s="17" t="str">
        <x:v>2026-04-06 07:00:00</x:v>
      </x:c>
      <x:c r="E68" s="17" t="str">
        <x:v>Eldorado do Brasil</x:v>
      </x:c>
      <x:c r="F68" s="17" t="str">
        <x:v>Carlos Roberto Paiva Monteiro - (12) 9 9713-2722</x:v>
      </x:c>
      <x:c r="G68" s="17" t="str">
        <x:v>Concluído</x:v>
      </x:c>
      <x:c r="H68" s="17" t="str">
        <x:v>Pago</x:v>
      </x:c>
      <x:c r="I68" s="21" t="n">
        <x:v>649.95</x:v>
      </x:c>
    </x:row>
    <x:row r="69" ht="15" hidden="0" customHeight="1">
      <x:c r="A69" s="17" t="n">
        <x:v>69</x:v>
      </x:c>
      <x:c r="B69" s="17" t="str">
        <x:v>OP-1039</x:v>
      </x:c>
      <x:c r="C69" s="17" t="str">
        <x:v>9078</x:v>
      </x:c>
      <x:c r="D69" s="17" t="str">
        <x:v>2026-04-06 07:50:00</x:v>
      </x:c>
      <x:c r="E69" s="17" t="str">
        <x:v>Johnson&amp;Johnson</x:v>
      </x:c>
      <x:c r="F69" s="17" t="str">
        <x:v>Carolina Huang - +55 15 99858-2119</x:v>
      </x:c>
      <x:c r="G69" s="17" t="str">
        <x:v>Concluído</x:v>
      </x:c>
      <x:c r="H69" s="17" t="str">
        <x:v>Pago</x:v>
      </x:c>
      <x:c r="I69" s="21" t="n">
        <x:v>442.98</x:v>
      </x:c>
    </x:row>
    <x:row r="70" ht="15" hidden="0" customHeight="1">
      <x:c r="A70" s="17" t="n">
        <x:v>70</x:v>
      </x:c>
      <x:c r="B70" s="17" t="str">
        <x:v>OP-1091</x:v>
      </x:c>
      <x:c r="C70" s="17" t="str">
        <x:v>OS-4063</x:v>
      </x:c>
      <x:c r="D70" s="17" t="str">
        <x:v>2026-04-06 08:30:00</x:v>
      </x:c>
      <x:c r="E70" s="17" t="str">
        <x:v>Johnson&amp;Johnson</x:v>
      </x:c>
      <x:c r="F70" s="17" t="str">
        <x:v>JACK RAWLE - indeterminado</x:v>
      </x:c>
      <x:c r="G70" s="17" t="str">
        <x:v>Concluído</x:v>
      </x:c>
      <x:c r="H70" s="17" t="str">
        <x:v>Pago</x:v>
      </x:c>
      <x:c r="I70" s="21" t="n">
        <x:v>400.48</x:v>
      </x:c>
    </x:row>
    <x:row r="71" ht="15" hidden="0" customHeight="1">
      <x:c r="A71" s="17" t="n">
        <x:v>71</x:v>
      </x:c>
      <x:c r="B71" s="17" t="str">
        <x:v>OP-1038</x:v>
      </x:c>
      <x:c r="C71" s="17" t="str">
        <x:v>OS-4034</x:v>
      </x:c>
      <x:c r="D71" s="17" t="str">
        <x:v>2026-04-06 11:00:00</x:v>
      </x:c>
      <x:c r="E71" s="17" t="str">
        <x:v>Particular</x:v>
      </x:c>
      <x:c r="F71" s="17" t="str">
        <x:v>Sra. Angela Oliveira - +55 11 98134-8101</x:v>
      </x:c>
      <x:c r="G71" s="17" t="str">
        <x:v>Concluído</x:v>
      </x:c>
      <x:c r="H71" s="17" t="str">
        <x:v>Pago</x:v>
      </x:c>
      <x:c r="I71" s="21" t="n">
        <x:v>650</x:v>
      </x:c>
    </x:row>
    <x:row r="72" ht="15" hidden="0" customHeight="1">
      <x:c r="A72" s="17" t="n">
        <x:v>72</x:v>
      </x:c>
      <x:c r="B72" s="17" t="str">
        <x:v>OP-1047</x:v>
      </x:c>
      <x:c r="C72" s="17" t="str">
        <x:v>OS-4068</x:v>
      </x:c>
      <x:c r="D72" s="17" t="str">
        <x:v>2026-04-06 12:30:00</x:v>
      </x:c>
      <x:c r="E72" s="17" t="str">
        <x:v>Johnson&amp;Johnson</x:v>
      </x:c>
      <x:c r="F72" s="17" t="str">
        <x:v>Leandro carvalho - 12 99158-0060</x:v>
      </x:c>
      <x:c r="G72" s="17" t="str">
        <x:v>Concluído</x:v>
      </x:c>
      <x:c r="H72" s="17" t="str">
        <x:v>Pago</x:v>
      </x:c>
      <x:c r="I72" s="21" t="n">
        <x:v>607.18</x:v>
      </x:c>
    </x:row>
    <x:row r="73" ht="15" hidden="0" customHeight="1">
      <x:c r="A73" s="17" t="n">
        <x:v>73</x:v>
      </x:c>
      <x:c r="B73" s="17" t="str">
        <x:v>OP-1046</x:v>
      </x:c>
      <x:c r="C73" s="17" t="str">
        <x:v>OS-4021</x:v>
      </x:c>
      <x:c r="D73" s="17" t="str">
        <x:v>2026-04-06 13:00:00</x:v>
      </x:c>
      <x:c r="E73" s="17" t="str">
        <x:v>Johnson&amp;Johnson</x:v>
      </x:c>
      <x:c r="F73" s="17" t="str">
        <x:v>Eliel Gonçalves Zabini - +55 12 98227-6761</x:v>
      </x:c>
      <x:c r="G73" s="17" t="str">
        <x:v>Concluído</x:v>
      </x:c>
      <x:c r="H73" s="17" t="str">
        <x:v>Pago</x:v>
      </x:c>
      <x:c r="I73" s="21" t="n">
        <x:v>442.98</x:v>
      </x:c>
    </x:row>
    <x:row r="74" ht="15" hidden="0" customHeight="1">
      <x:c r="A74" s="17" t="n">
        <x:v>74</x:v>
      </x:c>
      <x:c r="B74" s="17" t="str">
        <x:v>OP-1091</x:v>
      </x:c>
      <x:c r="C74" s="17" t="str">
        <x:v>OS-4065</x:v>
      </x:c>
      <x:c r="D74" s="17" t="str">
        <x:v>2026-04-06 14:30:00</x:v>
      </x:c>
      <x:c r="E74" s="17" t="str">
        <x:v>Johnson&amp;Johnson</x:v>
      </x:c>
      <x:c r="F74" s="17" t="str">
        <x:v>ROBERT KLEIN - indeterminado</x:v>
      </x:c>
      <x:c r="G74" s="17" t="str">
        <x:v>Concluído</x:v>
      </x:c>
      <x:c r="H74" s="17" t="str">
        <x:v>Pago</x:v>
      </x:c>
      <x:c r="I74" s="21" t="n">
        <x:v>400.48</x:v>
      </x:c>
    </x:row>
    <x:row r="75" ht="15" hidden="0" customHeight="1">
      <x:c r="A75" s="17" t="n">
        <x:v>75</x:v>
      </x:c>
      <x:c r="B75" s="17" t="str">
        <x:v>OP-1091</x:v>
      </x:c>
      <x:c r="C75" s="17" t="str">
        <x:v>OS-4064</x:v>
      </x:c>
      <x:c r="D75" s="17" t="str">
        <x:v>2026-04-06 17:00:00</x:v>
      </x:c>
      <x:c r="E75" s="17" t="str">
        <x:v>Johnson&amp;Johnson</x:v>
      </x:c>
      <x:c r="F75" s="17" t="str">
        <x:v>JACK RAWLE - indeterminado</x:v>
      </x:c>
      <x:c r="G75" s="17" t="str">
        <x:v>Concluído</x:v>
      </x:c>
      <x:c r="H75" s="17" t="str">
        <x:v>Pago</x:v>
      </x:c>
      <x:c r="I75" s="21" t="n">
        <x:v>400.48</x:v>
      </x:c>
    </x:row>
    <x:row r="76" ht="15" hidden="0" customHeight="1">
      <x:c r="A76" s="17" t="n">
        <x:v>76</x:v>
      </x:c>
      <x:c r="B76" s="17" t="str">
        <x:v>OP-1008</x:v>
      </x:c>
      <x:c r="C76" s="17" t="str">
        <x:v>OS-4077</x:v>
      </x:c>
      <x:c r="D76" s="17" t="str">
        <x:v>2026-04-06 18:20:00</x:v>
      </x:c>
      <x:c r="E76" s="17" t="str">
        <x:v>Particular</x:v>
      </x:c>
      <x:c r="F76" s="17" t="str">
        <x:v>Fernando Silva Lopes - +55 11 95034-5605</x:v>
      </x:c>
      <x:c r="G76" s="17" t="str">
        <x:v>Concluído</x:v>
      </x:c>
      <x:c r="H76" s="17" t="str">
        <x:v>Pago</x:v>
      </x:c>
      <x:c r="I76" s="21" t="n">
        <x:v>790</x:v>
      </x:c>
    </x:row>
    <x:row r="77" ht="15" hidden="0" customHeight="1">
      <x:c r="A77" s="17" t="n">
        <x:v>77</x:v>
      </x:c>
      <x:c r="B77" s="17" t="str">
        <x:v>OP-1091</x:v>
      </x:c>
      <x:c r="C77" s="17" t="str">
        <x:v>OS-4066</x:v>
      </x:c>
      <x:c r="D77" s="17" t="str">
        <x:v>2026-04-06 18:30:00</x:v>
      </x:c>
      <x:c r="E77" s="17" t="str">
        <x:v>Johnson&amp;Johnson</x:v>
      </x:c>
      <x:c r="F77" s="17" t="str">
        <x:v>ROBERT KLEIN - indeterminado</x:v>
      </x:c>
      <x:c r="G77" s="17" t="str">
        <x:v>Concluído</x:v>
      </x:c>
      <x:c r="H77" s="17" t="str">
        <x:v>Pago</x:v>
      </x:c>
      <x:c r="I77" s="21" t="n">
        <x:v>780.59</x:v>
      </x:c>
    </x:row>
    <x:row r="78" ht="15" hidden="0" customHeight="1">
      <x:c r="A78" s="17" t="n">
        <x:v>78</x:v>
      </x:c>
      <x:c r="B78" s="17" t="str">
        <x:v>OP-1036</x:v>
      </x:c>
      <x:c r="C78" s="17" t="str">
        <x:v>OS-4104</x:v>
      </x:c>
      <x:c r="D78" s="17" t="str">
        <x:v>2026-04-06 19:00:00</x:v>
      </x:c>
      <x:c r="E78" s="17" t="str">
        <x:v>Particular</x:v>
      </x:c>
      <x:c r="F78" s="17" t="str">
        <x:v>Diogo Alberto de Paula - +55 11 94106-1239</x:v>
      </x:c>
      <x:c r="G78" s="17" t="str">
        <x:v>Concluído</x:v>
      </x:c>
      <x:c r="H78" s="17" t="str">
        <x:v>Pago</x:v>
      </x:c>
      <x:c r="I78" s="21" t="n">
        <x:v>425</x:v>
      </x:c>
    </x:row>
    <x:row r="79" ht="15" hidden="0" customHeight="1">
      <x:c r="A79" s="17" t="n">
        <x:v>79</x:v>
      </x:c>
      <x:c r="B79" s="17" t="str">
        <x:v>OP-1219</x:v>
      </x:c>
      <x:c r="C79" s="17" t="str">
        <x:v>OS-4075</x:v>
      </x:c>
      <x:c r="D79" s="17" t="str">
        <x:v>2026-04-06 20:00:00</x:v>
      </x:c>
      <x:c r="E79" s="17" t="str">
        <x:v>Embraer</x:v>
      </x:c>
      <x:c r="F79" s="17" t="str">
        <x:v>AMANDA DE ALMEIDA GABRIEL - (12) 99703-7385</x:v>
      </x:c>
      <x:c r="G79" s="17" t="str">
        <x:v>Concluído</x:v>
      </x:c>
      <x:c r="H79" s="17" t="str">
        <x:v>Pago</x:v>
      </x:c>
      <x:c r="I79" s="21" t="n">
        <x:v>397.1</x:v>
      </x:c>
    </x:row>
    <x:row r="80" ht="15" hidden="0" customHeight="1">
      <x:c r="A80" s="17" t="n">
        <x:v>80</x:v>
      </x:c>
      <x:c r="B80" s="17" t="str">
        <x:v>OP-1219</x:v>
      </x:c>
      <x:c r="C80" s="17" t="str">
        <x:v>OS-4076</x:v>
      </x:c>
      <x:c r="D80" s="17" t="str">
        <x:v>2026-04-06 21:15:00</x:v>
      </x:c>
      <x:c r="E80" s="17" t="str">
        <x:v>Embraer</x:v>
      </x:c>
      <x:c r="F80" s="17" t="str">
        <x:v>MARCELA CRISTINA BORELLA ALVES - (12) 99147-7648</x:v>
      </x:c>
      <x:c r="G80" s="17" t="str">
        <x:v>Concluído</x:v>
      </x:c>
      <x:c r="H80" s="17" t="str">
        <x:v>Composição Realizada</x:v>
      </x:c>
      <x:c r="I80" s="21" t="n">
        <x:v>599.34</x:v>
      </x:c>
    </x:row>
    <x:row r="81" ht="15" hidden="0" customHeight="1">
      <x:c r="A81" s="17" t="n">
        <x:v>81</x:v>
      </x:c>
      <x:c r="B81" s="17" t="str">
        <x:v>OP-1219</x:v>
      </x:c>
      <x:c r="C81" s="17" t="str">
        <x:v>OS-4105</x:v>
      </x:c>
      <x:c r="D81" s="17" t="str">
        <x:v>2026-04-07 05:45:00</x:v>
      </x:c>
      <x:c r="E81" s="17" t="str">
        <x:v>Embraer</x:v>
      </x:c>
      <x:c r="F81" s="17" t="str">
        <x:v>WILLIAM KENDI NAKAI - (12) 99139-1444</x:v>
      </x:c>
      <x:c r="G81" s="17" t="str">
        <x:v>Concluído</x:v>
      </x:c>
      <x:c r="H81" s="17" t="str">
        <x:v>Pago</x:v>
      </x:c>
      <x:c r="I81" s="21" t="n">
        <x:v>978.1</x:v>
      </x:c>
    </x:row>
    <x:row r="82" ht="15" hidden="0" customHeight="1">
      <x:c r="A82" s="17" t="n">
        <x:v>82</x:v>
      </x:c>
      <x:c r="B82" s="17" t="str">
        <x:v>OP-1023</x:v>
      </x:c>
      <x:c r="C82" s="17" t="str">
        <x:v>9400</x:v>
      </x:c>
      <x:c r="D82" s="17" t="str">
        <x:v>2026-04-07 07:00:00</x:v>
      </x:c>
      <x:c r="E82" s="17" t="str">
        <x:v>Johnson&amp;Johnson</x:v>
      </x:c>
      <x:c r="F82" s="17" t="str">
        <x:v>Marcos Vinicius de Moura - (12) 99641-4828 / Leandro Ferreira de Carvalho - (12) 98827-1644</x:v>
      </x:c>
      <x:c r="G82" s="17" t="str">
        <x:v>Concluído</x:v>
      </x:c>
      <x:c r="H82" s="17" t="str">
        <x:v>Pago</x:v>
      </x:c>
      <x:c r="I82" s="21" t="n">
        <x:v>1011.53</x:v>
      </x:c>
    </x:row>
    <x:row r="83" ht="15" hidden="0" customHeight="1">
      <x:c r="A83" s="17" t="n">
        <x:v>83</x:v>
      </x:c>
      <x:c r="B83" s="17" t="str">
        <x:v>OP-1022</x:v>
      </x:c>
      <x:c r="C83" s="17" t="str">
        <x:v>9152</x:v>
      </x:c>
      <x:c r="D83" s="17" t="str">
        <x:v>2026-04-07 07:50:00</x:v>
      </x:c>
      <x:c r="E83" s="17" t="str">
        <x:v>Johnson&amp;Johnson</x:v>
      </x:c>
      <x:c r="F83" s="17" t="str">
        <x:v>William Mattel - +1 (770) 540-5621</x:v>
      </x:c>
      <x:c r="G83" s="17" t="str">
        <x:v>Concluído</x:v>
      </x:c>
      <x:c r="H83" s="17" t="str">
        <x:v>Pago</x:v>
      </x:c>
      <x:c r="I83" s="21" t="n">
        <x:v>442.98</x:v>
      </x:c>
    </x:row>
    <x:row r="84" ht="36" hidden="0" customHeight="1">
      <x:c r="A84" s="17" t="n">
        <x:v>84</x:v>
      </x:c>
      <x:c r="B84" s="17" t="str">
        <x:v>OP-1080</x:v>
      </x:c>
      <x:c r="C84" s="17" t="str">
        <x:v>9365</x:v>
      </x:c>
      <x:c r="D84" s="17" t="str">
        <x:v>2026-04-07 08:00:00</x:v>
      </x:c>
      <x:c r="E84" s="17" t="str">
        <x:v>Johnson&amp;Johnson</x:v>
      </x:c>
      <x:c r="F84" s="17" t="str">
        <x:v>Leonardo Fazan - 16996179448;
Diogenes Souza Neto - indeterminado;
Gerson Rodrigo Nascimento - indeterminado</x:v>
      </x:c>
      <x:c r="G84" s="17" t="str">
        <x:v>Concluído</x:v>
      </x:c>
      <x:c r="H84" s="17" t="str">
        <x:v>Pago</x:v>
      </x:c>
      <x:c r="I84" s="21" t="n">
        <x:v>1762.95</x:v>
      </x:c>
    </x:row>
    <x:row r="85" ht="15" hidden="0" customHeight="1">
      <x:c r="A85" s="17" t="n">
        <x:v>85</x:v>
      </x:c>
      <x:c r="B85" s="17" t="str">
        <x:v>OP-1091</x:v>
      </x:c>
      <x:c r="C85" s="17" t="str">
        <x:v>OS-4121</x:v>
      </x:c>
      <x:c r="D85" s="17" t="str">
        <x:v>2026-04-07 08:30:00</x:v>
      </x:c>
      <x:c r="E85" s="17" t="str">
        <x:v>Johnson&amp;Johnson</x:v>
      </x:c>
      <x:c r="F85" s="17" t="str">
        <x:v>JACK RAWLE - indeterminado</x:v>
      </x:c>
      <x:c r="G85" s="17" t="str">
        <x:v>Concluído</x:v>
      </x:c>
      <x:c r="H85" s="17" t="str">
        <x:v>Pago</x:v>
      </x:c>
      <x:c r="I85" s="21" t="n">
        <x:v>400.48</x:v>
      </x:c>
    </x:row>
    <x:row r="86" ht="15" hidden="0" customHeight="1">
      <x:c r="A86" s="17" t="n">
        <x:v>86</x:v>
      </x:c>
      <x:c r="B86" s="17" t="str">
        <x:v>OP-1018</x:v>
      </x:c>
      <x:c r="C86" s="17" t="str">
        <x:v>OS-4067</x:v>
      </x:c>
      <x:c r="D86" s="17" t="str">
        <x:v>2026-04-07 08:30:00</x:v>
      </x:c>
      <x:c r="E86" s="17" t="str">
        <x:v>Boeing</x:v>
      </x:c>
      <x:c r="F86" s="17" t="str">
        <x:v>William G. Silva - 12 99683-4366</x:v>
      </x:c>
      <x:c r="G86" s="17" t="str">
        <x:v>Concluído</x:v>
      </x:c>
      <x:c r="H86" s="17" t="str">
        <x:v>Pago</x:v>
      </x:c>
      <x:c r="I86" s="21" t="n">
        <x:v>1005.01</x:v>
      </x:c>
    </x:row>
    <x:row r="87" ht="15" hidden="0" customHeight="1">
      <x:c r="A87" s="17" t="n">
        <x:v>87</x:v>
      </x:c>
      <x:c r="B87" s="17" t="str">
        <x:v>OP-1219</x:v>
      </x:c>
      <x:c r="C87" s="17" t="str">
        <x:v>OS-4108</x:v>
      </x:c>
      <x:c r="D87" s="17" t="str">
        <x:v>2026-04-07 11:00:00</x:v>
      </x:c>
      <x:c r="E87" s="17" t="str">
        <x:v>Embraer</x:v>
      </x:c>
      <x:c r="F87" s="17" t="str">
        <x:v>MARCELO TELES GOMES - (12) 99101-9701</x:v>
      </x:c>
      <x:c r="G87" s="17" t="str">
        <x:v>Concluído</x:v>
      </x:c>
      <x:c r="H87" s="17" t="str">
        <x:v>Pago</x:v>
      </x:c>
      <x:c r="I87" s="21" t="n">
        <x:v>397.1</x:v>
      </x:c>
    </x:row>
    <x:row r="88" ht="15" hidden="0" customHeight="1">
      <x:c r="A88" s="17" t="n">
        <x:v>88</x:v>
      </x:c>
      <x:c r="B88" s="17" t="str">
        <x:v>OP-1022</x:v>
      </x:c>
      <x:c r="C88" s="17" t="str">
        <x:v>9163</x:v>
      </x:c>
      <x:c r="D88" s="17" t="str">
        <x:v>2026-04-07 15:00:00</x:v>
      </x:c>
      <x:c r="E88" s="17" t="str">
        <x:v>Johnson&amp;Johnson</x:v>
      </x:c>
      <x:c r="F88" s="17" t="str">
        <x:v>William Mattel - +1 (770) 540-5621</x:v>
      </x:c>
      <x:c r="G88" s="17" t="str">
        <x:v>Concluído</x:v>
      </x:c>
      <x:c r="H88" s="17" t="str">
        <x:v>Pago</x:v>
      </x:c>
      <x:c r="I88" s="21" t="n">
        <x:v>442.98</x:v>
      </x:c>
    </x:row>
    <x:row r="89" ht="15" hidden="0" customHeight="1">
      <x:c r="A89" s="17" t="n">
        <x:v>89</x:v>
      </x:c>
      <x:c r="B89" s="17" t="str">
        <x:v>OP-1091</x:v>
      </x:c>
      <x:c r="C89" s="17" t="str">
        <x:v>OS-4120</x:v>
      </x:c>
      <x:c r="D89" s="17" t="str">
        <x:v>2026-04-07 17:00:00</x:v>
      </x:c>
      <x:c r="E89" s="17" t="str">
        <x:v>Johnson&amp;Johnson</x:v>
      </x:c>
      <x:c r="F89" s="17" t="str">
        <x:v>JACK RAWLE - indeterminado</x:v>
      </x:c>
      <x:c r="G89" s="17" t="str">
        <x:v>Concluído</x:v>
      </x:c>
      <x:c r="H89" s="17" t="str">
        <x:v>Pago</x:v>
      </x:c>
      <x:c r="I89" s="21" t="n">
        <x:v>400.48</x:v>
      </x:c>
    </x:row>
    <x:row r="90" ht="15" hidden="0" customHeight="1">
      <x:c r="A90" s="17" t="n">
        <x:v>90</x:v>
      </x:c>
      <x:c r="B90" s="17" t="str">
        <x:v>OP-1091</x:v>
      </x:c>
      <x:c r="C90" s="17" t="str">
        <x:v>OS-4106</x:v>
      </x:c>
      <x:c r="D90" s="17" t="str">
        <x:v>2026-04-07 17:00:00</x:v>
      </x:c>
      <x:c r="E90" s="17" t="str">
        <x:v>Johnson&amp;Johnson</x:v>
      </x:c>
      <x:c r="F90" s="17" t="str">
        <x:v>ROBERT KLEIN - indeterminado</x:v>
      </x:c>
      <x:c r="G90" s="17" t="str">
        <x:v>Concluído</x:v>
      </x:c>
      <x:c r="H90" s="17" t="str">
        <x:v>Pago</x:v>
      </x:c>
      <x:c r="I90" s="21" t="n">
        <x:v>400.48</x:v>
      </x:c>
    </x:row>
    <x:row r="91" ht="15" hidden="0" customHeight="1">
      <x:c r="A91" s="17" t="n">
        <x:v>91</x:v>
      </x:c>
      <x:c r="B91" s="17" t="str">
        <x:v>OP-1022</x:v>
      </x:c>
      <x:c r="C91" s="17" t="str">
        <x:v>9153</x:v>
      </x:c>
      <x:c r="D91" s="17" t="str">
        <x:v>2026-04-08 05:00:00</x:v>
      </x:c>
      <x:c r="E91" s="17" t="str">
        <x:v>Johnson&amp;Johnson</x:v>
      </x:c>
      <x:c r="F91" s="17" t="str">
        <x:v>William Mattel - +1 (770) 540-5621</x:v>
      </x:c>
      <x:c r="G91" s="17" t="str">
        <x:v>Concluído</x:v>
      </x:c>
      <x:c r="H91" s="17" t="str">
        <x:v>Pago</x:v>
      </x:c>
      <x:c r="I91" s="21" t="n">
        <x:v>442.98</x:v>
      </x:c>
    </x:row>
    <x:row r="92" ht="15" hidden="0" customHeight="1">
      <x:c r="A92" s="17" t="n">
        <x:v>92</x:v>
      </x:c>
      <x:c r="B92" s="17" t="str">
        <x:v>OP-1219</x:v>
      </x:c>
      <x:c r="C92" s="17" t="str">
        <x:v>OS-4130</x:v>
      </x:c>
      <x:c r="D92" s="17" t="str">
        <x:v>2026-04-08 05:30:00</x:v>
      </x:c>
      <x:c r="E92" s="17" t="str">
        <x:v>Embraer</x:v>
      </x:c>
      <x:c r="F92" s="17" t="str">
        <x:v>MARIA FERNANDA BRITO DA SILVA - (12) 99211-2628</x:v>
      </x:c>
      <x:c r="G92" s="17" t="str">
        <x:v>Concluído</x:v>
      </x:c>
      <x:c r="H92" s="17" t="str">
        <x:v>Pago</x:v>
      </x:c>
      <x:c r="I92" s="21" t="n">
        <x:v>1295.47</x:v>
      </x:c>
    </x:row>
    <x:row r="93" ht="15" hidden="0" customHeight="1">
      <x:c r="A93" s="17" t="n">
        <x:v>93</x:v>
      </x:c>
      <x:c r="B93" s="17" t="str">
        <x:v>OP-1011</x:v>
      </x:c>
      <x:c r="C93" s="17" t="str">
        <x:v>OS-4132</x:v>
      </x:c>
      <x:c r="D93" s="17" t="str">
        <x:v>2026-04-08 06:50:00</x:v>
      </x:c>
      <x:c r="E93" s="17" t="str">
        <x:v>Johnson&amp;Johnson</x:v>
      </x:c>
      <x:c r="F93" s="17" t="str">
        <x:v>Thiago Alves - 12 99136-3072</x:v>
      </x:c>
      <x:c r="G93" s="17" t="str">
        <x:v>Concluído</x:v>
      </x:c>
      <x:c r="H93" s="17" t="str">
        <x:v>Pago</x:v>
      </x:c>
      <x:c r="I93" s="21" t="n">
        <x:v>509.98</x:v>
      </x:c>
    </x:row>
    <x:row r="94" ht="15" hidden="0" customHeight="1">
      <x:c r="A94" s="17" t="n">
        <x:v>94</x:v>
      </x:c>
      <x:c r="B94" s="17" t="str">
        <x:v>OP-1023</x:v>
      </x:c>
      <x:c r="C94" s="17" t="str">
        <x:v>9401</x:v>
      </x:c>
      <x:c r="D94" s="17" t="str">
        <x:v>2026-04-08 07:00:00</x:v>
      </x:c>
      <x:c r="E94" s="17" t="str">
        <x:v>Johnson&amp;Johnson</x:v>
      </x:c>
      <x:c r="F94" s="17" t="str">
        <x:v>Marcos Vinicius de Moura - (12) 99641-4828 / Leandro Ferreira de Carvalho - (12) 98827-1644</x:v>
      </x:c>
      <x:c r="G94" s="17" t="str">
        <x:v>Concluído</x:v>
      </x:c>
      <x:c r="H94" s="17" t="str">
        <x:v>Pago</x:v>
      </x:c>
      <x:c r="I94" s="21" t="n">
        <x:v>1011.53</x:v>
      </x:c>
    </x:row>
    <x:row r="95" ht="15" hidden="0" customHeight="1">
      <x:c r="A95" s="17" t="n">
        <x:v>95</x:v>
      </x:c>
      <x:c r="B95" s="17" t="str">
        <x:v>OP-1091</x:v>
      </x:c>
      <x:c r="C95" s="17" t="str">
        <x:v>OS-4133</x:v>
      </x:c>
      <x:c r="D95" s="17" t="str">
        <x:v>2026-04-08 08:30:00</x:v>
      </x:c>
      <x:c r="E95" s="17" t="str">
        <x:v>Johnson&amp;Johnson</x:v>
      </x:c>
      <x:c r="F95" s="17" t="str">
        <x:v>JACK RAWLE - indeterminado</x:v>
      </x:c>
      <x:c r="G95" s="17" t="str">
        <x:v>Concluído</x:v>
      </x:c>
      <x:c r="H95" s="17" t="str">
        <x:v>Pago</x:v>
      </x:c>
      <x:c r="I95" s="21" t="n">
        <x:v>400.48</x:v>
      </x:c>
    </x:row>
    <x:row r="96" ht="15" hidden="0" customHeight="1">
      <x:c r="A96" s="17" t="n">
        <x:v>96</x:v>
      </x:c>
      <x:c r="B96" s="17" t="str">
        <x:v>OP-1219</x:v>
      </x:c>
      <x:c r="C96" s="17" t="str">
        <x:v>OS-4140</x:v>
      </x:c>
      <x:c r="D96" s="17" t="str">
        <x:v>2026-04-08 10:00:00</x:v>
      </x:c>
      <x:c r="E96" s="17" t="str">
        <x:v>Embraer</x:v>
      </x:c>
      <x:c r="F96" s="17" t="str">
        <x:v>Transporte F300 - indeterminado</x:v>
      </x:c>
      <x:c r="G96" s="17" t="str">
        <x:v>Concluído</x:v>
      </x:c>
      <x:c r="H96" s="17" t="str">
        <x:v>Pago</x:v>
      </x:c>
      <x:c r="I96" s="21" t="n">
        <x:v>718.56</x:v>
      </x:c>
    </x:row>
    <x:row r="97" ht="15" hidden="0" customHeight="1">
      <x:c r="A97" s="17" t="n">
        <x:v>97</x:v>
      </x:c>
      <x:c r="B97" s="17" t="str">
        <x:v>OP-1022</x:v>
      </x:c>
      <x:c r="C97" s="17" t="str">
        <x:v>9158</x:v>
      </x:c>
      <x:c r="D97" s="17" t="str">
        <x:v>2026-04-08 14:40:00</x:v>
      </x:c>
      <x:c r="E97" s="17" t="str">
        <x:v>Johnson&amp;Johnson</x:v>
      </x:c>
      <x:c r="F97" s="17" t="str">
        <x:v>William Mattel - +1 (770) 540-5621</x:v>
      </x:c>
      <x:c r="G97" s="17" t="str">
        <x:v>Concluído</x:v>
      </x:c>
      <x:c r="H97" s="17" t="str">
        <x:v>Pago</x:v>
      </x:c>
      <x:c r="I97" s="21" t="n">
        <x:v>442.98</x:v>
      </x:c>
    </x:row>
    <x:row r="98" ht="15" hidden="0" customHeight="1">
      <x:c r="A98" s="17" t="n">
        <x:v>98</x:v>
      </x:c>
      <x:c r="B98" s="17" t="str">
        <x:v>OP-1091</x:v>
      </x:c>
      <x:c r="C98" s="17" t="str">
        <x:v>OS-4456</x:v>
      </x:c>
      <x:c r="D98" s="17" t="str">
        <x:v>2026-04-08 16:30:00</x:v>
      </x:c>
      <x:c r="E98" s="17" t="str">
        <x:v>Johnson&amp;Johnson</x:v>
      </x:c>
      <x:c r="F98" s="17" t="str">
        <x:v>ROBERT KLEIN - indeterminado</x:v>
      </x:c>
      <x:c r="G98" s="17" t="str">
        <x:v>Concluído</x:v>
      </x:c>
      <x:c r="H98" s="17" t="str">
        <x:v>Pago</x:v>
      </x:c>
      <x:c r="I98" s="21" t="n">
        <x:v>512.9</x:v>
      </x:c>
    </x:row>
    <x:row r="99" ht="15" hidden="0" customHeight="1">
      <x:c r="A99" s="17" t="n">
        <x:v>99</x:v>
      </x:c>
      <x:c r="B99" s="17" t="str">
        <x:v>OP-1091</x:v>
      </x:c>
      <x:c r="C99" s="17" t="str">
        <x:v>OS-4122</x:v>
      </x:c>
      <x:c r="D99" s="17" t="str">
        <x:v>2026-04-08 17:00:00</x:v>
      </x:c>
      <x:c r="E99" s="17" t="str">
        <x:v>Johnson&amp;Johnson</x:v>
      </x:c>
      <x:c r="F99" s="17" t="str">
        <x:v>JACK RAWLE - indeterminado</x:v>
      </x:c>
      <x:c r="G99" s="17" t="str">
        <x:v>Concluído</x:v>
      </x:c>
      <x:c r="H99" s="17" t="str">
        <x:v>Pago</x:v>
      </x:c>
      <x:c r="I99" s="21" t="n">
        <x:v>400.48</x:v>
      </x:c>
    </x:row>
    <x:row r="100" ht="15" hidden="0" customHeight="1">
      <x:c r="A100" s="17" t="n">
        <x:v>100</x:v>
      </x:c>
      <x:c r="B100" s="17" t="str">
        <x:v>OP-1074</x:v>
      </x:c>
      <x:c r="C100" s="17" t="str">
        <x:v>OS-4135</x:v>
      </x:c>
      <x:c r="D100" s="17" t="str">
        <x:v>2026-04-08 17:20:00</x:v>
      </x:c>
      <x:c r="E100" s="17" t="str">
        <x:v>Boeing</x:v>
      </x:c>
      <x:c r="F100" s="17" t="str">
        <x:v>Fernanda Silvestre - +55 12 99204-5635</x:v>
      </x:c>
      <x:c r="G100" s="17" t="str">
        <x:v>Concluído</x:v>
      </x:c>
      <x:c r="H100" s="17" t="str">
        <x:v>Pago</x:v>
      </x:c>
      <x:c r="I100" s="21" t="n">
        <x:v>396.05</x:v>
      </x:c>
    </x:row>
    <x:row r="101" ht="15" hidden="0" customHeight="1">
      <x:c r="A101" s="17" t="n">
        <x:v>101</x:v>
      </x:c>
      <x:c r="B101" s="17" t="str">
        <x:v>OP-1219</x:v>
      </x:c>
      <x:c r="C101" s="17" t="str">
        <x:v>OS-4975</x:v>
      </x:c>
      <x:c r="D101" s="17" t="str">
        <x:v>2026-04-08 18:00:00</x:v>
      </x:c>
      <x:c r="E101" s="17" t="str">
        <x:v>Embraer</x:v>
      </x:c>
      <x:c r="F101" s="17" t="str">
        <x:v>Transporte F300 - indeterminado</x:v>
      </x:c>
      <x:c r="G101" s="17" t="str">
        <x:v>Concluído</x:v>
      </x:c>
      <x:c r="H101" s="17" t="str">
        <x:v>Pago</x:v>
      </x:c>
      <x:c r="I101" s="21" t="n">
        <x:v>179.64</x:v>
      </x:c>
    </x:row>
    <x:row r="102" ht="24" hidden="0" customHeight="1">
      <x:c r="A102" s="17" t="n">
        <x:v>102</x:v>
      </x:c>
      <x:c r="B102" s="17" t="str">
        <x:v>OP-1219</x:v>
      </x:c>
      <x:c r="C102" s="17" t="str">
        <x:v>OS-4131</x:v>
      </x:c>
      <x:c r="D102" s="17" t="str">
        <x:v>2026-04-08 19:30:00</x:v>
      </x:c>
      <x:c r="E102" s="17" t="str">
        <x:v>Embraer</x:v>
      </x:c>
      <x:c r="F102" s="17" t="str">
        <x:v>KANG SEONGGWON - indeterminado;
SON CHOONGMAN - indeterminado</x:v>
      </x:c>
      <x:c r="G102" s="17" t="str">
        <x:v>Concluído</x:v>
      </x:c>
      <x:c r="H102" s="17" t="str">
        <x:v>Pago</x:v>
      </x:c>
      <x:c r="I102" s="21" t="n">
        <x:v>1189.57</x:v>
      </x:c>
    </x:row>
    <x:row r="103" ht="15" hidden="0" customHeight="1">
      <x:c r="A103" s="17" t="n">
        <x:v>103</x:v>
      </x:c>
      <x:c r="B103" s="17" t="str">
        <x:v>OP-1219</x:v>
      </x:c>
      <x:c r="C103" s="17" t="str">
        <x:v>OS-4977</x:v>
      </x:c>
      <x:c r="D103" s="17" t="str">
        <x:v>2026-04-08 21:00:00</x:v>
      </x:c>
      <x:c r="E103" s="17" t="str">
        <x:v>Embraer</x:v>
      </x:c>
      <x:c r="F103" s="17" t="str">
        <x:v>Transporte F300 - indeterminado</x:v>
      </x:c>
      <x:c r="G103" s="17" t="str">
        <x:v>Concluído</x:v>
      </x:c>
      <x:c r="H103" s="17" t="str">
        <x:v>Pago</x:v>
      </x:c>
      <x:c r="I103" s="21" t="n">
        <x:v>179.64</x:v>
      </x:c>
    </x:row>
    <x:row r="104" ht="15" hidden="0" customHeight="1">
      <x:c r="A104" s="17" t="n">
        <x:v>104</x:v>
      </x:c>
      <x:c r="B104" s="17" t="str">
        <x:v>OP-1022</x:v>
      </x:c>
      <x:c r="C104" s="17" t="str">
        <x:v>9154</x:v>
      </x:c>
      <x:c r="D104" s="17" t="str">
        <x:v>2026-04-09 04:40:00</x:v>
      </x:c>
      <x:c r="E104" s="17" t="str">
        <x:v>Johnson&amp;Johnson</x:v>
      </x:c>
      <x:c r="F104" s="17" t="str">
        <x:v>William Mattel - +1 (770) 540-5621</x:v>
      </x:c>
      <x:c r="G104" s="17" t="str">
        <x:v>Concluído</x:v>
      </x:c>
      <x:c r="H104" s="17" t="str">
        <x:v>Pago</x:v>
      </x:c>
      <x:c r="I104" s="21" t="n">
        <x:v>442.98</x:v>
      </x:c>
    </x:row>
    <x:row r="105" ht="15" hidden="0" customHeight="1">
      <x:c r="A105" s="17" t="n">
        <x:v>105</x:v>
      </x:c>
      <x:c r="B105" s="17" t="str">
        <x:v>OP-1091</x:v>
      </x:c>
      <x:c r="C105" s="17" t="str">
        <x:v>OS-4178</x:v>
      </x:c>
      <x:c r="D105" s="17" t="str">
        <x:v>2026-04-09 07:15:00</x:v>
      </x:c>
      <x:c r="E105" s="17" t="str">
        <x:v>Johnson&amp;Johnson</x:v>
      </x:c>
      <x:c r="F105" s="17" t="str">
        <x:v>JACK RAWLE - indeterminado</x:v>
      </x:c>
      <x:c r="G105" s="17" t="str">
        <x:v>Concluído</x:v>
      </x:c>
      <x:c r="H105" s="17" t="str">
        <x:v>Pago</x:v>
      </x:c>
      <x:c r="I105" s="21" t="n">
        <x:v>1009.68</x:v>
      </x:c>
    </x:row>
    <x:row r="106" ht="15" hidden="0" customHeight="1">
      <x:c r="A106" s="17" t="n">
        <x:v>106</x:v>
      </x:c>
      <x:c r="B106" s="17" t="str">
        <x:v>OP-1024</x:v>
      </x:c>
      <x:c r="C106" s="17" t="str">
        <x:v>OS-4137</x:v>
      </x:c>
      <x:c r="D106" s="17" t="str">
        <x:v>2026-04-09 08:00:00</x:v>
      </x:c>
      <x:c r="E106" s="17" t="str">
        <x:v>Johnson&amp;Johnson</x:v>
      </x:c>
      <x:c r="F106" s="17" t="str">
        <x:v>Roneide Oliveira - +55 12 98190-2010</x:v>
      </x:c>
      <x:c r="G106" s="17" t="str">
        <x:v>Concluído</x:v>
      </x:c>
      <x:c r="H106" s="17" t="str">
        <x:v>Pago</x:v>
      </x:c>
      <x:c r="I106" s="21" t="n">
        <x:v>1430.31</x:v>
      </x:c>
    </x:row>
    <x:row r="107" ht="15" hidden="0" customHeight="1">
      <x:c r="A107" s="17" t="n">
        <x:v>107</x:v>
      </x:c>
      <x:c r="B107" s="17" t="str">
        <x:v>OP-1219</x:v>
      </x:c>
      <x:c r="C107" s="17" t="str">
        <x:v>OS-4179</x:v>
      </x:c>
      <x:c r="D107" s="17" t="str">
        <x:v>2026-04-09 08:30:00</x:v>
      </x:c>
      <x:c r="E107" s="17" t="str">
        <x:v>Embraer</x:v>
      </x:c>
      <x:c r="F107" s="17" t="str">
        <x:v>Transporte F300 - indeterminado</x:v>
      </x:c>
      <x:c r="G107" s="17" t="str">
        <x:v>Concluído</x:v>
      </x:c>
      <x:c r="H107" s="17" t="str">
        <x:v>Pago</x:v>
      </x:c>
      <x:c r="I107" s="21" t="n">
        <x:v>179.64</x:v>
      </x:c>
    </x:row>
    <x:row r="108" ht="15" hidden="0" customHeight="1">
      <x:c r="A108" s="17" t="n">
        <x:v>108</x:v>
      </x:c>
      <x:c r="B108" s="17" t="str">
        <x:v>OP-1219</x:v>
      </x:c>
      <x:c r="C108" s="17" t="str">
        <x:v>OS-4180</x:v>
      </x:c>
      <x:c r="D108" s="17" t="str">
        <x:v>2026-04-09 09:00:00</x:v>
      </x:c>
      <x:c r="E108" s="17" t="str">
        <x:v>Embraer</x:v>
      </x:c>
      <x:c r="F108" s="17" t="str">
        <x:v>Transporte F300 - indeterminado</x:v>
      </x:c>
      <x:c r="G108" s="17" t="str">
        <x:v>Concluído</x:v>
      </x:c>
      <x:c r="H108" s="17" t="str">
        <x:v>Pago</x:v>
      </x:c>
      <x:c r="I108" s="21" t="n">
        <x:v>749.53</x:v>
      </x:c>
    </x:row>
    <x:row r="109" ht="15" hidden="0" customHeight="1">
      <x:c r="A109" s="17" t="n">
        <x:v>109</x:v>
      </x:c>
      <x:c r="B109" s="17" t="str">
        <x:v>OP-1022</x:v>
      </x:c>
      <x:c r="C109" s="17" t="str">
        <x:v>9159</x:v>
      </x:c>
      <x:c r="D109" s="17" t="str">
        <x:v>2026-04-09 11:00:00</x:v>
      </x:c>
      <x:c r="E109" s="17" t="str">
        <x:v>Johnson&amp;Johnson</x:v>
      </x:c>
      <x:c r="F109" s="17" t="str">
        <x:v>William Mattel - +1 (770) 540-5621</x:v>
      </x:c>
      <x:c r="G109" s="17" t="str">
        <x:v>Concluído</x:v>
      </x:c>
      <x:c r="H109" s="17" t="str">
        <x:v>Pago</x:v>
      </x:c>
      <x:c r="I109" s="21" t="n">
        <x:v>442.98</x:v>
      </x:c>
    </x:row>
    <x:row r="110" ht="15" hidden="0" customHeight="1">
      <x:c r="A110" s="17" t="n">
        <x:v>110</x:v>
      </x:c>
      <x:c r="B110" s="17" t="str">
        <x:v>OP-1091</x:v>
      </x:c>
      <x:c r="C110" s="17" t="str">
        <x:v>OS-4457</x:v>
      </x:c>
      <x:c r="D110" s="17" t="str">
        <x:v>2026-04-09 12:30:00</x:v>
      </x:c>
      <x:c r="E110" s="17" t="str">
        <x:v>Johnson&amp;Johnson</x:v>
      </x:c>
      <x:c r="F110" s="17" t="str">
        <x:v>ROBERT KLEIN - indeterminado</x:v>
      </x:c>
      <x:c r="G110" s="17" t="str">
        <x:v>Concluído</x:v>
      </x:c>
      <x:c r="H110" s="17" t="str">
        <x:v>Pago</x:v>
      </x:c>
      <x:c r="I110" s="21" t="n">
        <x:v>1181.07</x:v>
      </x:c>
    </x:row>
    <x:row r="111" ht="24" hidden="0" customHeight="1">
      <x:c r="A111" s="17" t="n">
        <x:v>111</x:v>
      </x:c>
      <x:c r="B111" s="17" t="str">
        <x:v>OP-1219</x:v>
      </x:c>
      <x:c r="C111" s="17" t="str">
        <x:v>OS-4197</x:v>
      </x:c>
      <x:c r="D111" s="17" t="str">
        <x:v>2026-04-09 14:30:00</x:v>
      </x:c>
      <x:c r="E111" s="17" t="str">
        <x:v>Embraer</x:v>
      </x:c>
      <x:c r="F111" s="17" t="str">
        <x:v>LUIS GUILHERME GIGO - (12) 98151-3288;
WESLEY FINAMORE IVO - indeterminado</x:v>
      </x:c>
      <x:c r="G111" s="17" t="str">
        <x:v>Concluído</x:v>
      </x:c>
      <x:c r="H111" s="17" t="str">
        <x:v>Pago</x:v>
      </x:c>
      <x:c r="I111" s="21" t="n">
        <x:v>733.5</x:v>
      </x:c>
    </x:row>
    <x:row r="112" ht="15" hidden="0" customHeight="1">
      <x:c r="A112" s="17" t="n">
        <x:v>112</x:v>
      </x:c>
      <x:c r="B112" s="17" t="str">
        <x:v>OP-1219</x:v>
      </x:c>
      <x:c r="C112" s="17" t="str">
        <x:v>OS-4209</x:v>
      </x:c>
      <x:c r="D112" s="17" t="str">
        <x:v>2026-04-09 16:00:00</x:v>
      </x:c>
      <x:c r="E112" s="17" t="str">
        <x:v>Embraer</x:v>
      </x:c>
      <x:c r="F112" s="17" t="str">
        <x:v>Transporte F300 - indeterminado</x:v>
      </x:c>
      <x:c r="G112" s="17" t="str">
        <x:v>Concluído</x:v>
      </x:c>
      <x:c r="H112" s="17" t="str">
        <x:v>Pago</x:v>
      </x:c>
      <x:c r="I112" s="21" t="n">
        <x:v>179.64</x:v>
      </x:c>
    </x:row>
    <x:row r="113" ht="15" hidden="0" customHeight="1">
      <x:c r="A113" s="17" t="n">
        <x:v>113</x:v>
      </x:c>
      <x:c r="B113" s="17" t="str">
        <x:v>OP-1085</x:v>
      </x:c>
      <x:c r="C113" s="17" t="str">
        <x:v>9338</x:v>
      </x:c>
      <x:c r="D113" s="17" t="str">
        <x:v>2026-04-09 16:00:00</x:v>
      </x:c>
      <x:c r="E113" s="17" t="str">
        <x:v>Boeing</x:v>
      </x:c>
      <x:c r="F113" s="17" t="str">
        <x:v>Heitor Augusto Carneiro de Almeida - +55 12 99151-3853</x:v>
      </x:c>
      <x:c r="G113" s="17" t="str">
        <x:v>Concluído</x:v>
      </x:c>
      <x:c r="H113" s="17" t="str">
        <x:v>Pago</x:v>
      </x:c>
      <x:c r="I113" s="21" t="n">
        <x:v>396.05</x:v>
      </x:c>
    </x:row>
    <x:row r="114" ht="15" hidden="0" customHeight="1">
      <x:c r="A114" s="17" t="n">
        <x:v>114</x:v>
      </x:c>
      <x:c r="B114" s="17" t="str">
        <x:v>OP-1058</x:v>
      </x:c>
      <x:c r="C114" s="17" t="str">
        <x:v>OS-4138</x:v>
      </x:c>
      <x:c r="D114" s="17" t="str">
        <x:v>2026-04-09 17:00:00</x:v>
      </x:c>
      <x:c r="E114" s="17" t="str">
        <x:v>Johnson&amp;Johnson</x:v>
      </x:c>
      <x:c r="F114" s="17" t="str">
        <x:v>Gabriela Leite Nogueira - +55 12 98137-1344</x:v>
      </x:c>
      <x:c r="G114" s="17" t="str">
        <x:v>Concluído</x:v>
      </x:c>
      <x:c r="H114" s="17" t="str">
        <x:v>Pago</x:v>
      </x:c>
      <x:c r="I114" s="21" t="n">
        <x:v>582.56</x:v>
      </x:c>
    </x:row>
    <x:row r="115" ht="15" hidden="0" customHeight="1">
      <x:c r="A115" s="17" t="n">
        <x:v>115</x:v>
      </x:c>
      <x:c r="B115" s="17" t="str">
        <x:v>OP-1219</x:v>
      </x:c>
      <x:c r="C115" s="17" t="str">
        <x:v>OS-4182</x:v>
      </x:c>
      <x:c r="D115" s="17" t="str">
        <x:v>2026-04-09 20:30:00</x:v>
      </x:c>
      <x:c r="E115" s="17" t="str">
        <x:v>Embraer</x:v>
      </x:c>
      <x:c r="F115" s="17" t="str">
        <x:v>CIRO TOKASIKI - (12) 98156-8925</x:v>
      </x:c>
      <x:c r="G115" s="17" t="str">
        <x:v>Concluído</x:v>
      </x:c>
      <x:c r="H115" s="17" t="str">
        <x:v>Pago</x:v>
      </x:c>
      <x:c r="I115" s="21" t="n">
        <x:v>569.89</x:v>
      </x:c>
    </x:row>
    <x:row r="116" ht="15" hidden="0" customHeight="1">
      <x:c r="A116" s="17" t="n">
        <x:v>116</x:v>
      </x:c>
      <x:c r="B116" s="17" t="str">
        <x:v>OP-1219</x:v>
      </x:c>
      <x:c r="C116" s="17" t="str">
        <x:v>OS-4203</x:v>
      </x:c>
      <x:c r="D116" s="17" t="str">
        <x:v>2026-04-10 04:30:00</x:v>
      </x:c>
      <x:c r="E116" s="17" t="str">
        <x:v>Embraer</x:v>
      </x:c>
      <x:c r="F116" s="17" t="str">
        <x:v>BIANCA CARVAJAL - (12) 99607-4118</x:v>
      </x:c>
      <x:c r="G116" s="17" t="str">
        <x:v>Concluído</x:v>
      </x:c>
      <x:c r="H116" s="17" t="str">
        <x:v>Pago</x:v>
      </x:c>
      <x:c r="I116" s="21" t="n">
        <x:v>410.1</x:v>
      </x:c>
    </x:row>
    <x:row r="117" ht="15" hidden="0" customHeight="1">
      <x:c r="A117" s="17" t="n">
        <x:v>117</x:v>
      </x:c>
      <x:c r="B117" s="17" t="str">
        <x:v>OP-1028</x:v>
      </x:c>
      <x:c r="C117" s="17" t="str">
        <x:v>OS-4070</x:v>
      </x:c>
      <x:c r="D117" s="17" t="str">
        <x:v>2026-04-10 04:55:00</x:v>
      </x:c>
      <x:c r="E117" s="17" t="str">
        <x:v>Boeing</x:v>
      </x:c>
      <x:c r="F117" s="17" t="str">
        <x:v>Fabio Truffa - indeterminado</x:v>
      </x:c>
      <x:c r="G117" s="17" t="str">
        <x:v>Concluído</x:v>
      </x:c>
      <x:c r="H117" s="17" t="str">
        <x:v>Pago</x:v>
      </x:c>
      <x:c r="I117" s="21" t="n">
        <x:v>463.05</x:v>
      </x:c>
    </x:row>
    <x:row r="118" ht="15" hidden="0" customHeight="1">
      <x:c r="A118" s="17" t="n">
        <x:v>118</x:v>
      </x:c>
      <x:c r="B118" s="17" t="str">
        <x:v>OP-1219</x:v>
      </x:c>
      <x:c r="C118" s="17" t="str">
        <x:v>OS-4201</x:v>
      </x:c>
      <x:c r="D118" s="17" t="str">
        <x:v>2026-04-10 05:00:00</x:v>
      </x:c>
      <x:c r="E118" s="17" t="str">
        <x:v>Embraer</x:v>
      </x:c>
      <x:c r="F118" s="17" t="str">
        <x:v>OSWALD NIEL BERLINCK - (12) 98168-8558</x:v>
      </x:c>
      <x:c r="G118" s="17" t="str">
        <x:v>Concluído</x:v>
      </x:c>
      <x:c r="H118" s="17" t="str">
        <x:v>Pago</x:v>
      </x:c>
      <x:c r="I118" s="21" t="n">
        <x:v>978.1</x:v>
      </x:c>
    </x:row>
    <x:row r="119" ht="15" hidden="0" customHeight="1">
      <x:c r="A119" s="17" t="n">
        <x:v>119</x:v>
      </x:c>
      <x:c r="B119" s="17" t="str">
        <x:v>OP-1091</x:v>
      </x:c>
      <x:c r="C119" s="17" t="str">
        <x:v>OS-4183</x:v>
      </x:c>
      <x:c r="D119" s="17" t="str">
        <x:v>2026-04-10 05:30:00</x:v>
      </x:c>
      <x:c r="E119" s="17" t="str">
        <x:v>Johnson&amp;Johnson</x:v>
      </x:c>
      <x:c r="F119" s="17" t="str">
        <x:v>JACK RAWLE - indeterminado</x:v>
      </x:c>
      <x:c r="G119" s="17" t="str">
        <x:v>Concluído</x:v>
      </x:c>
      <x:c r="H119" s="17" t="str">
        <x:v>Pago</x:v>
      </x:c>
      <x:c r="I119" s="21" t="n">
        <x:v>713.56</x:v>
      </x:c>
    </x:row>
    <x:row r="120" ht="15" hidden="0" customHeight="1">
      <x:c r="A120" s="17" t="n">
        <x:v>120</x:v>
      </x:c>
      <x:c r="B120" s="17" t="str">
        <x:v>OP-1036</x:v>
      </x:c>
      <x:c r="C120" s="17" t="str">
        <x:v>OS-4208</x:v>
      </x:c>
      <x:c r="D120" s="17" t="str">
        <x:v>2026-04-10 06:10:00</x:v>
      </x:c>
      <x:c r="E120" s="17" t="str">
        <x:v>Particular</x:v>
      </x:c>
      <x:c r="F120" s="17" t="str">
        <x:v>Diogo Alberto de Paula - +55 11 94106-1239</x:v>
      </x:c>
      <x:c r="G120" s="17" t="str">
        <x:v>Concluído</x:v>
      </x:c>
      <x:c r="H120" s="17" t="str">
        <x:v>Pago</x:v>
      </x:c>
      <x:c r="I120" s="21" t="n">
        <x:v>425</x:v>
      </x:c>
    </x:row>
    <x:row r="121" ht="15" hidden="0" customHeight="1">
      <x:c r="A121" s="17" t="n">
        <x:v>121</x:v>
      </x:c>
      <x:c r="B121" s="17" t="str">
        <x:v>OP-1034</x:v>
      </x:c>
      <x:c r="C121" s="17" t="str">
        <x:v>9311</x:v>
      </x:c>
      <x:c r="D121" s="17" t="str">
        <x:v>2026-04-10 10:00:00</x:v>
      </x:c>
      <x:c r="E121" s="17" t="str">
        <x:v>Boeing</x:v>
      </x:c>
      <x:c r="F121" s="17" t="str">
        <x:v>Wander Araújo  - +55 (12) 99732 5585</x:v>
      </x:c>
      <x:c r="G121" s="17" t="str">
        <x:v>Concluído</x:v>
      </x:c>
      <x:c r="H121" s="17" t="str">
        <x:v>Pago</x:v>
      </x:c>
      <x:c r="I121" s="21" t="n">
        <x:v>463.05</x:v>
      </x:c>
    </x:row>
    <x:row r="122" ht="15" hidden="0" customHeight="1">
      <x:c r="A122" s="17" t="n">
        <x:v>122</x:v>
      </x:c>
      <x:c r="B122" s="17" t="str">
        <x:v>OP-1219</x:v>
      </x:c>
      <x:c r="C122" s="17" t="str">
        <x:v>OS-4221</x:v>
      </x:c>
      <x:c r="D122" s="17" t="str">
        <x:v>2026-04-10 13:00:00</x:v>
      </x:c>
      <x:c r="E122" s="17" t="str">
        <x:v>Embraer</x:v>
      </x:c>
      <x:c r="F122" s="17" t="str">
        <x:v>VERONICA BALTAZAR PRATES - (61) 98228-0440</x:v>
      </x:c>
      <x:c r="G122" s="17" t="str">
        <x:v>Concluído</x:v>
      </x:c>
      <x:c r="H122" s="17" t="str">
        <x:v>Pago</x:v>
      </x:c>
      <x:c r="I122" s="21" t="n">
        <x:v>397.1</x:v>
      </x:c>
    </x:row>
    <x:row r="123" ht="15" hidden="0" customHeight="1">
      <x:c r="A123" s="17" t="n">
        <x:v>123</x:v>
      </x:c>
      <x:c r="B123" s="17" t="str">
        <x:v>OP-1219</x:v>
      </x:c>
      <x:c r="C123" s="17" t="str">
        <x:v>OS-4225</x:v>
      </x:c>
      <x:c r="D123" s="17" t="str">
        <x:v>2026-04-10 13:00:00</x:v>
      </x:c>
      <x:c r="E123" s="17" t="str">
        <x:v>Embraer</x:v>
      </x:c>
      <x:c r="F123" s="17" t="str">
        <x:v>VANESSA CRISTINA FERREIRA - (11) 97347-2518</x:v>
      </x:c>
      <x:c r="G123" s="17" t="str">
        <x:v>Concluído</x:v>
      </x:c>
      <x:c r="H123" s="17" t="str">
        <x:v>Pago</x:v>
      </x:c>
      <x:c r="I123" s="21" t="n">
        <x:v>179.64</x:v>
      </x:c>
    </x:row>
    <x:row r="124" ht="15" hidden="0" customHeight="1">
      <x:c r="A124" s="17" t="n">
        <x:v>124</x:v>
      </x:c>
      <x:c r="B124" s="17" t="str">
        <x:v>OP-1046</x:v>
      </x:c>
      <x:c r="C124" s="17" t="str">
        <x:v>OS-4022</x:v>
      </x:c>
      <x:c r="D124" s="17" t="str">
        <x:v>2026-04-10 13:15:00</x:v>
      </x:c>
      <x:c r="E124" s="17" t="str">
        <x:v>Johnson&amp;Johnson</x:v>
      </x:c>
      <x:c r="F124" s="17" t="str">
        <x:v>Eliel Gonçalves Zabini - +55 12 98227-6761</x:v>
      </x:c>
      <x:c r="G124" s="17" t="str">
        <x:v>Concluído</x:v>
      </x:c>
      <x:c r="H124" s="17" t="str">
        <x:v>Pago</x:v>
      </x:c>
      <x:c r="I124" s="21" t="n">
        <x:v>509.98</x:v>
      </x:c>
    </x:row>
    <x:row r="125" ht="15" hidden="0" customHeight="1">
      <x:c r="A125" s="17" t="n">
        <x:v>125</x:v>
      </x:c>
      <x:c r="B125" s="17" t="str">
        <x:v>OP-1219</x:v>
      </x:c>
      <x:c r="C125" s="17" t="str">
        <x:v>OS-4206</x:v>
      </x:c>
      <x:c r="D125" s="17" t="str">
        <x:v>2026-04-10 13:30:00</x:v>
      </x:c>
      <x:c r="E125" s="17" t="str">
        <x:v>Embraer</x:v>
      </x:c>
      <x:c r="F125" s="17" t="str">
        <x:v>VANESSA CRISTINA FERREIRA - (11) 97347-2518</x:v>
      </x:c>
      <x:c r="G125" s="17" t="str">
        <x:v>Concluído</x:v>
      </x:c>
      <x:c r="H125" s="17" t="str">
        <x:v>Pago</x:v>
      </x:c>
      <x:c r="I125" s="21" t="n">
        <x:v>179.64</x:v>
      </x:c>
    </x:row>
    <x:row r="126" ht="15" hidden="0" customHeight="1">
      <x:c r="A126" s="17" t="n">
        <x:v>126</x:v>
      </x:c>
      <x:c r="B126" s="17" t="str">
        <x:v>OP-1219</x:v>
      </x:c>
      <x:c r="C126" s="17" t="str">
        <x:v>OS-4205</x:v>
      </x:c>
      <x:c r="D126" s="17" t="str">
        <x:v>2026-04-10 14:20:00</x:v>
      </x:c>
      <x:c r="E126" s="17" t="str">
        <x:v>Embraer</x:v>
      </x:c>
      <x:c r="F126" s="17" t="str">
        <x:v>GLEVERSON FABNER CONDE LEMOS - (12) 81009-686</x:v>
      </x:c>
      <x:c r="G126" s="17" t="str">
        <x:v>Concluído</x:v>
      </x:c>
      <x:c r="H126" s="17" t="str">
        <x:v>Pago</x:v>
      </x:c>
      <x:c r="I126" s="21" t="n">
        <x:v>397.1</x:v>
      </x:c>
    </x:row>
    <x:row r="127" ht="15" hidden="0" customHeight="1">
      <x:c r="A127" s="17" t="n">
        <x:v>127</x:v>
      </x:c>
      <x:c r="B127" s="17" t="str">
        <x:v>OP-1219</x:v>
      </x:c>
      <x:c r="C127" s="17" t="str">
        <x:v>OS-4228</x:v>
      </x:c>
      <x:c r="D127" s="17" t="str">
        <x:v>2026-04-10 15:00:00</x:v>
      </x:c>
      <x:c r="E127" s="17" t="str">
        <x:v>Embraer</x:v>
      </x:c>
      <x:c r="F127" s="17" t="str">
        <x:v>VANESSA CRISTINA FERREIRA - (11) 97347-2518</x:v>
      </x:c>
      <x:c r="G127" s="17" t="str">
        <x:v>Concluído</x:v>
      </x:c>
      <x:c r="H127" s="17" t="str">
        <x:v>Pago</x:v>
      </x:c>
      <x:c r="I127" s="21" t="n">
        <x:v>285.43</x:v>
      </x:c>
    </x:row>
    <x:row r="128" ht="15" hidden="0" customHeight="1">
      <x:c r="A128" s="17" t="n">
        <x:v>128</x:v>
      </x:c>
      <x:c r="B128" s="17" t="str">
        <x:v>OP-1221</x:v>
      </x:c>
      <x:c r="C128" s="17" t="str">
        <x:v>9414</x:v>
      </x:c>
      <x:c r="D128" s="17" t="str">
        <x:v>2026-04-10 16:00:00</x:v>
      </x:c>
      <x:c r="E128" s="17" t="str">
        <x:v>Eldorado do Brasil</x:v>
      </x:c>
      <x:c r="F128" s="17" t="str">
        <x:v>Carlos Roberto Paiva Monteiro - (12) 9 9713-2722</x:v>
      </x:c>
      <x:c r="G128" s="17" t="str">
        <x:v>Concluído</x:v>
      </x:c>
      <x:c r="H128" s="17" t="str">
        <x:v>Pago</x:v>
      </x:c>
      <x:c r="I128" s="21" t="n">
        <x:v>729.95</x:v>
      </x:c>
    </x:row>
    <x:row r="129" ht="24" hidden="0" customHeight="1">
      <x:c r="A129" s="17" t="n">
        <x:v>129</x:v>
      </x:c>
      <x:c r="B129" s="17" t="str">
        <x:v>OP-1072</x:v>
      </x:c>
      <x:c r="C129" s="17" t="str">
        <x:v>OS-4188</x:v>
      </x:c>
      <x:c r="D129" s="17" t="str">
        <x:v>2026-04-10 16:50:00</x:v>
      </x:c>
      <x:c r="E129" s="17" t="str">
        <x:v>Johnson&amp;Johnson</x:v>
      </x:c>
      <x:c r="F129" s="17" t="str">
        <x:v>Rafael Manso - indeterminado;
Rafael Barbosa - +55 12 99186-7707</x:v>
      </x:c>
      <x:c r="G129" s="17" t="str">
        <x:v>Concluído</x:v>
      </x:c>
      <x:c r="H129" s="17" t="str">
        <x:v>Pago</x:v>
      </x:c>
      <x:c r="I129" s="21" t="n">
        <x:v>1172.94</x:v>
      </x:c>
    </x:row>
    <x:row r="130" ht="15" hidden="0" customHeight="1">
      <x:c r="A130" s="17" t="n">
        <x:v>130</x:v>
      </x:c>
      <x:c r="B130" s="17" t="str">
        <x:v>OP-1219</x:v>
      </x:c>
      <x:c r="C130" s="17" t="str">
        <x:v>OS-4204</x:v>
      </x:c>
      <x:c r="D130" s="17" t="str">
        <x:v>2026-04-10 17:00:00</x:v>
      </x:c>
      <x:c r="E130" s="17" t="str">
        <x:v>Embraer</x:v>
      </x:c>
      <x:c r="F130" s="17" t="str">
        <x:v>Janggun Han - indeterminado</x:v>
      </x:c>
      <x:c r="G130" s="17" t="str">
        <x:v>Concluído</x:v>
      </x:c>
      <x:c r="H130" s="17" t="str">
        <x:v>Pago</x:v>
      </x:c>
      <x:c r="I130" s="21" t="n">
        <x:v>410.1</x:v>
      </x:c>
    </x:row>
    <x:row r="131" ht="15" hidden="0" customHeight="1">
      <x:c r="A131" s="17" t="n">
        <x:v>131</x:v>
      </x:c>
      <x:c r="B131" s="17" t="str">
        <x:v>OP-1096</x:v>
      </x:c>
      <x:c r="C131" s="17" t="str">
        <x:v>OS-4198</x:v>
      </x:c>
      <x:c r="D131" s="17" t="str">
        <x:v>2026-04-10 18:00:00</x:v>
      </x:c>
      <x:c r="E131" s="17" t="str">
        <x:v>Boeing</x:v>
      </x:c>
      <x:c r="F131" s="17" t="str">
        <x:v>Leandro Leite - +55 11 994985360</x:v>
      </x:c>
      <x:c r="G131" s="17" t="str">
        <x:v>Concluído</x:v>
      </x:c>
      <x:c r="H131" s="17" t="str">
        <x:v>Pago</x:v>
      </x:c>
      <x:c r="I131" s="21" t="n">
        <x:v>445.97</x:v>
      </x:c>
    </x:row>
    <x:row r="132" ht="15" hidden="0" customHeight="1">
      <x:c r="A132" s="17" t="n">
        <x:v>132</x:v>
      </x:c>
      <x:c r="B132" s="17" t="str">
        <x:v>OP-1219</x:v>
      </x:c>
      <x:c r="C132" s="17" t="str">
        <x:v>OS-4200</x:v>
      </x:c>
      <x:c r="D132" s="17" t="str">
        <x:v>2026-04-10 18:00:00</x:v>
      </x:c>
      <x:c r="E132" s="17" t="str">
        <x:v>Embraer</x:v>
      </x:c>
      <x:c r="F132" s="17" t="str">
        <x:v>AMANDA DE ALMEIDA GABRIEL - (12) 99703-7385</x:v>
      </x:c>
      <x:c r="G132" s="17" t="str">
        <x:v>Concluído</x:v>
      </x:c>
      <x:c r="H132" s="17" t="str">
        <x:v>Pago</x:v>
      </x:c>
      <x:c r="I132" s="21" t="n">
        <x:v>464.1</x:v>
      </x:c>
    </x:row>
    <x:row r="133" ht="15" hidden="0" customHeight="1">
      <x:c r="A133" s="17" t="n">
        <x:v>133</x:v>
      </x:c>
      <x:c r="B133" s="17" t="str">
        <x:v>OP-1219</x:v>
      </x:c>
      <x:c r="C133" s="17" t="str">
        <x:v>OS-4202</x:v>
      </x:c>
      <x:c r="D133" s="17" t="str">
        <x:v>2026-04-10 18:00:00</x:v>
      </x:c>
      <x:c r="E133" s="17" t="str">
        <x:v>Embraer</x:v>
      </x:c>
      <x:c r="F133" s="17" t="str">
        <x:v>ALESSANDRA DE NOVAES RUBIRA PITA - (12)9704-2561</x:v>
      </x:c>
      <x:c r="G133" s="17" t="str">
        <x:v>Concluído</x:v>
      </x:c>
      <x:c r="H133" s="17" t="str">
        <x:v>Pago</x:v>
      </x:c>
      <x:c r="I133" s="21" t="n">
        <x:v>682.53</x:v>
      </x:c>
    </x:row>
    <x:row r="134" ht="15" hidden="0" customHeight="1">
      <x:c r="A134" s="17" t="n">
        <x:v>134</x:v>
      </x:c>
      <x:c r="B134" s="17" t="str">
        <x:v>OP-1033</x:v>
      </x:c>
      <x:c r="C134" s="17" t="str">
        <x:v>9249</x:v>
      </x:c>
      <x:c r="D134" s="17" t="str">
        <x:v>2026-04-10 20:30:00</x:v>
      </x:c>
      <x:c r="E134" s="17" t="str">
        <x:v>Johnson&amp;Johnson</x:v>
      </x:c>
      <x:c r="F134" s="17" t="str">
        <x:v>Bruno Bertoni de Paula - +55 12 99644 4510</x:v>
      </x:c>
      <x:c r="G134" s="17" t="str">
        <x:v>Concluído</x:v>
      </x:c>
      <x:c r="H134" s="17" t="str">
        <x:v>Pago</x:v>
      </x:c>
      <x:c r="I134" s="21" t="n">
        <x:v>670.49</x:v>
      </x:c>
    </x:row>
    <x:row r="135" ht="15" hidden="0" customHeight="1">
      <x:c r="A135" s="17" t="n">
        <x:v>135</x:v>
      </x:c>
      <x:c r="B135" s="17" t="str">
        <x:v>OP-1031</x:v>
      </x:c>
      <x:c r="C135" s="17" t="str">
        <x:v>9322</x:v>
      </x:c>
      <x:c r="D135" s="17" t="str">
        <x:v>2026-04-11 05:30:00</x:v>
      </x:c>
      <x:c r="E135" s="17" t="str">
        <x:v>Johnson&amp;Johnson</x:v>
      </x:c>
      <x:c r="F135" s="17" t="str">
        <x:v>Marcelo Moreira - (12) 99169-0099</x:v>
      </x:c>
      <x:c r="G135" s="17" t="str">
        <x:v>Concluído</x:v>
      </x:c>
      <x:c r="H135" s="17" t="str">
        <x:v>Pago</x:v>
      </x:c>
      <x:c r="I135" s="21" t="n">
        <x:v>509.98</x:v>
      </x:c>
    </x:row>
    <x:row r="136" ht="15" hidden="0" customHeight="1">
      <x:c r="A136" s="17" t="n">
        <x:v>136</x:v>
      </x:c>
      <x:c r="B136" s="17" t="str">
        <x:v>OP-1042</x:v>
      </x:c>
      <x:c r="C136" s="17" t="str">
        <x:v>OS-4190</x:v>
      </x:c>
      <x:c r="D136" s="17" t="str">
        <x:v>2026-04-11 06:55:00</x:v>
      </x:c>
      <x:c r="E136" s="17" t="str">
        <x:v>Johnson&amp;Johnson</x:v>
      </x:c>
      <x:c r="F136" s="17" t="str">
        <x:v>Jaclyn Scalone - +1-640-275-7487</x:v>
      </x:c>
      <x:c r="G136" s="17" t="str">
        <x:v>Concluído</x:v>
      </x:c>
      <x:c r="H136" s="17" t="str">
        <x:v>Pago</x:v>
      </x:c>
      <x:c r="I136" s="21" t="n">
        <x:v>620.49</x:v>
      </x:c>
    </x:row>
    <x:row r="137" ht="15" hidden="0" customHeight="1">
      <x:c r="A137" s="17" t="n">
        <x:v>137</x:v>
      </x:c>
      <x:c r="B137" s="17" t="str">
        <x:v>OP-1219</x:v>
      </x:c>
      <x:c r="C137" s="17" t="str">
        <x:v>OS-4217</x:v>
      </x:c>
      <x:c r="D137" s="17" t="str">
        <x:v>2026-04-11 06:55:00</x:v>
      </x:c>
      <x:c r="E137" s="17" t="str">
        <x:v>Embraer</x:v>
      </x:c>
      <x:c r="F137" s="17" t="str">
        <x:v>LUCIANO FERREIRA DE CASTRO - (12) 98162-0651</x:v>
      </x:c>
      <x:c r="G137" s="17" t="str">
        <x:v>Concluído</x:v>
      </x:c>
      <x:c r="H137" s="17" t="str">
        <x:v>Pago</x:v>
      </x:c>
      <x:c r="I137" s="21" t="n">
        <x:v>464.1</x:v>
      </x:c>
    </x:row>
    <x:row r="138" ht="15" hidden="0" customHeight="1">
      <x:c r="A138" s="17" t="n">
        <x:v>138</x:v>
      </x:c>
      <x:c r="B138" s="17" t="str">
        <x:v>OP-1219</x:v>
      </x:c>
      <x:c r="C138" s="17" t="str">
        <x:v>OS-4229</x:v>
      </x:c>
      <x:c r="D138" s="17" t="str">
        <x:v>2026-04-11 07:00:00</x:v>
      </x:c>
      <x:c r="E138" s="17" t="str">
        <x:v>Embraer</x:v>
      </x:c>
      <x:c r="F138" s="17" t="str">
        <x:v>MARCO AURELIO MACHADO MOREIRA - (16) 99725-1833</x:v>
      </x:c>
      <x:c r="G138" s="17" t="str">
        <x:v>Concluído</x:v>
      </x:c>
      <x:c r="H138" s="17" t="str">
        <x:v>Pago</x:v>
      </x:c>
      <x:c r="I138" s="21" t="n">
        <x:v>397.1</x:v>
      </x:c>
    </x:row>
    <x:row r="139" ht="15" hidden="0" customHeight="1">
      <x:c r="A139" s="17" t="n">
        <x:v>139</x:v>
      </x:c>
      <x:c r="B139" s="17" t="str">
        <x:v>OP-1035</x:v>
      </x:c>
      <x:c r="C139" s="17" t="str">
        <x:v>OS-4184</x:v>
      </x:c>
      <x:c r="D139" s="17" t="str">
        <x:v>2026-04-11 09:00:00</x:v>
      </x:c>
      <x:c r="E139" s="17" t="str">
        <x:v>Boeing</x:v>
      </x:c>
      <x:c r="F139" s="17" t="str">
        <x:v>André Santos  - +55 12 99161-0373</x:v>
      </x:c>
      <x:c r="G139" s="17" t="str">
        <x:v>Concluído</x:v>
      </x:c>
      <x:c r="H139" s="17" t="str">
        <x:v>Pago</x:v>
      </x:c>
      <x:c r="I139" s="21" t="n">
        <x:v>463.05</x:v>
      </x:c>
    </x:row>
    <x:row r="140" ht="15" hidden="0" customHeight="1">
      <x:c r="A140" s="17" t="n">
        <x:v>140</x:v>
      </x:c>
      <x:c r="B140" s="17" t="str">
        <x:v>OP-1219</x:v>
      </x:c>
      <x:c r="C140" s="17" t="str">
        <x:v>OS-4218</x:v>
      </x:c>
      <x:c r="D140" s="17" t="str">
        <x:v>2026-04-11 11:40:00</x:v>
      </x:c>
      <x:c r="E140" s="17" t="str">
        <x:v>Embraer</x:v>
      </x:c>
      <x:c r="F140" s="17" t="str">
        <x:v>ALINE VOGT PLANCHEZ DE CARVALHO GUILHERME - (12) 98102-5208</x:v>
      </x:c>
      <x:c r="G140" s="17" t="str">
        <x:v>Concluído</x:v>
      </x:c>
      <x:c r="H140" s="17" t="str">
        <x:v>Pago</x:v>
      </x:c>
      <x:c r="I140" s="21" t="n">
        <x:v>397.1</x:v>
      </x:c>
    </x:row>
    <x:row r="141" ht="36" hidden="0" customHeight="1">
      <x:c r="A141" s="17" t="n">
        <x:v>141</x:v>
      </x:c>
      <x:c r="B141" s="17" t="str">
        <x:v>OP-1121</x:v>
      </x:c>
      <x:c r="C141" s="17" t="str">
        <x:v>OS-4115</x:v>
      </x:c>
      <x:c r="D141" s="17" t="str">
        <x:v>2026-04-11 15:45:00</x:v>
      </x:c>
      <x:c r="E141" s="17" t="str">
        <x:v>Johnson&amp;Johnson</x:v>
      </x:c>
      <x:c r="F141" s="17" t="str">
        <x:v>Paulo Gregório Borba - +55 12 99181-5538;
Daniel de Oliveira - +55 12 99727-6497;
André Luis Santos - +55 12 99782-6618</x:v>
      </x:c>
      <x:c r="G141" s="17" t="str">
        <x:v>Concluído</x:v>
      </x:c>
      <x:c r="H141" s="17" t="str">
        <x:v>Pago</x:v>
      </x:c>
      <x:c r="I141" s="21" t="n">
        <x:v>540.74</x:v>
      </x:c>
    </x:row>
    <x:row r="142" ht="15" hidden="0" customHeight="1">
      <x:c r="A142" s="17" t="n">
        <x:v>142</x:v>
      </x:c>
      <x:c r="B142" s="17" t="str">
        <x:v>OP-1063</x:v>
      </x:c>
      <x:c r="C142" s="17" t="str">
        <x:v>OS-4241</x:v>
      </x:c>
      <x:c r="D142" s="17" t="str">
        <x:v>2026-04-11 16:00:00</x:v>
      </x:c>
      <x:c r="E142" s="17" t="str">
        <x:v>Johnson&amp;Johnson</x:v>
      </x:c>
      <x:c r="F142" s="17" t="str">
        <x:v>Ana Carla Ferreira Souza - 12 981752422</x:v>
      </x:c>
      <x:c r="G142" s="17" t="str">
        <x:v>Concluído</x:v>
      </x:c>
      <x:c r="H142" s="17" t="str">
        <x:v>Pago</x:v>
      </x:c>
      <x:c r="I142" s="21" t="n">
        <x:v>442.98</x:v>
      </x:c>
    </x:row>
    <x:row r="143" ht="15" hidden="0" customHeight="1">
      <x:c r="A143" s="17" t="n">
        <x:v>143</x:v>
      </x:c>
      <x:c r="B143" s="17" t="str">
        <x:v>OP-1069</x:v>
      </x:c>
      <x:c r="C143" s="17" t="str">
        <x:v>OS-4186</x:v>
      </x:c>
      <x:c r="D143" s="17" t="str">
        <x:v>2026-04-11 17:10:00</x:v>
      </x:c>
      <x:c r="E143" s="17" t="str">
        <x:v>Johnson&amp;Johnson</x:v>
      </x:c>
      <x:c r="F143" s="17" t="str">
        <x:v>Luciano de Paula - +55 12 99168-4442</x:v>
      </x:c>
      <x:c r="G143" s="17" t="str">
        <x:v>Concluído</x:v>
      </x:c>
      <x:c r="H143" s="17" t="str">
        <x:v>Pago</x:v>
      </x:c>
      <x:c r="I143" s="21" t="n">
        <x:v>603.49</x:v>
      </x:c>
    </x:row>
    <x:row r="144" ht="24" hidden="0" customHeight="1">
      <x:c r="A144" s="17" t="n">
        <x:v>144</x:v>
      </x:c>
      <x:c r="B144" s="17" t="str">
        <x:v>OP-1055</x:v>
      </x:c>
      <x:c r="C144" s="17" t="str">
        <x:v>OS-4242</x:v>
      </x:c>
      <x:c r="D144" s="17" t="str">
        <x:v>2026-04-12 03:30:00</x:v>
      </x:c>
      <x:c r="E144" s="17" t="str">
        <x:v>Johnson&amp;Johnson</x:v>
      </x:c>
      <x:c r="F144" s="17" t="str">
        <x:v>Regina Lucia Zamith - 12 98127 8254;
Roneide Oliveira - +55 12 98190-2010</x:v>
      </x:c>
      <x:c r="G144" s="17" t="str">
        <x:v>Concluído</x:v>
      </x:c>
      <x:c r="H144" s="17" t="str">
        <x:v>Pago</x:v>
      </x:c>
      <x:c r="I144" s="21" t="n">
        <x:v>652.37</x:v>
      </x:c>
    </x:row>
    <x:row r="145" ht="15" hidden="0" customHeight="1">
      <x:c r="A145" s="17" t="n">
        <x:v>145</x:v>
      </x:c>
      <x:c r="B145" s="17" t="str">
        <x:v>OP-1040</x:v>
      </x:c>
      <x:c r="C145" s="17" t="str">
        <x:v>OS-4006</x:v>
      </x:c>
      <x:c r="D145" s="17" t="str">
        <x:v>2026-04-12 14:15:00</x:v>
      </x:c>
      <x:c r="E145" s="17" t="str">
        <x:v>Johnson&amp;Johnson</x:v>
      </x:c>
      <x:c r="F145" s="17" t="str">
        <x:v>Viviane Maria Dias - +55 12 991580437</x:v>
      </x:c>
      <x:c r="G145" s="17" t="str">
        <x:v>Concluído</x:v>
      </x:c>
      <x:c r="H145" s="17" t="str">
        <x:v>Pago</x:v>
      </x:c>
      <x:c r="I145" s="21" t="n">
        <x:v>442.98</x:v>
      </x:c>
    </x:row>
    <x:row r="146" ht="36" hidden="0" customHeight="1">
      <x:c r="A146" s="17" t="n">
        <x:v>146</x:v>
      </x:c>
      <x:c r="B146" s="17" t="str">
        <x:v>OP-1066</x:v>
      </x:c>
      <x:c r="C146" s="17" t="str">
        <x:v>OS-4117</x:v>
      </x:c>
      <x:c r="D146" s="17" t="str">
        <x:v>2026-04-12 16:10:00</x:v>
      </x:c>
      <x:c r="E146" s="17" t="str">
        <x:v>Johnson&amp;Johnson</x:v>
      </x:c>
      <x:c r="F146" s="17" t="str">
        <x:v>José Jairo Irineu - +55 12 99125-4242;
Viviane Lemes Castro - +55 12 98809-5016 / 12 99165 3728;
Leticia Tostes - 16 991722644</x:v>
      </x:c>
      <x:c r="G146" s="17" t="str">
        <x:v>Concluído</x:v>
      </x:c>
      <x:c r="H146" s="17" t="str">
        <x:v>Pago</x:v>
      </x:c>
      <x:c r="I146" s="21" t="n">
        <x:v>701.25</x:v>
      </x:c>
    </x:row>
    <x:row r="147" ht="15" hidden="0" customHeight="1">
      <x:c r="A147" s="17" t="n">
        <x:v>147</x:v>
      </x:c>
      <x:c r="B147" s="17" t="str">
        <x:v>OP-1219</x:v>
      </x:c>
      <x:c r="C147" s="17" t="str">
        <x:v>OS-4237</x:v>
      </x:c>
      <x:c r="D147" s="17" t="str">
        <x:v>2026-04-12 16:30:00</x:v>
      </x:c>
      <x:c r="E147" s="17" t="str">
        <x:v>Embraer</x:v>
      </x:c>
      <x:c r="F147" s="17" t="str">
        <x:v>ANA CAROLINE SOARES SCHMIDT - (12) 99606-5049</x:v>
      </x:c>
      <x:c r="G147" s="17" t="str">
        <x:v>Concluído</x:v>
      </x:c>
      <x:c r="H147" s="17" t="str">
        <x:v>Pago</x:v>
      </x:c>
      <x:c r="I147" s="21" t="n">
        <x:v>397.1</x:v>
      </x:c>
    </x:row>
    <x:row r="148" ht="15" hidden="0" customHeight="1">
      <x:c r="A148" s="17" t="n">
        <x:v>148</x:v>
      </x:c>
      <x:c r="B148" s="17" t="str">
        <x:v>OP-1219</x:v>
      </x:c>
      <x:c r="C148" s="17" t="str">
        <x:v>OS-4238</x:v>
      </x:c>
      <x:c r="D148" s="17" t="str">
        <x:v>2026-04-12 18:00:00</x:v>
      </x:c>
      <x:c r="E148" s="17" t="str">
        <x:v>Embraer</x:v>
      </x:c>
      <x:c r="F148" s="17" t="str">
        <x:v>ALEXANDRE VILLACA GARCIA DE FIGUEIREDO - (12) 98152-4881</x:v>
      </x:c>
      <x:c r="G148" s="17" t="str">
        <x:v>Concluído</x:v>
      </x:c>
      <x:c r="H148" s="17" t="str">
        <x:v>Pago</x:v>
      </x:c>
      <x:c r="I148" s="21" t="n">
        <x:v>397.1</x:v>
      </x:c>
    </x:row>
    <x:row r="149" ht="15" hidden="0" customHeight="1">
      <x:c r="A149" s="17" t="n">
        <x:v>149</x:v>
      </x:c>
      <x:c r="B149" s="17" t="str">
        <x:v>OP-1060</x:v>
      </x:c>
      <x:c r="C149" s="17" t="str">
        <x:v>OS-4010</x:v>
      </x:c>
      <x:c r="D149" s="17" t="str">
        <x:v>2026-04-12 18:45:00</x:v>
      </x:c>
      <x:c r="E149" s="17" t="str">
        <x:v>Johnson&amp;Johnson</x:v>
      </x:c>
      <x:c r="F149" s="17" t="str">
        <x:v>Thais Eschiapati  - +55 12 99147-3702</x:v>
      </x:c>
      <x:c r="G149" s="17" t="str">
        <x:v>Concluído</x:v>
      </x:c>
      <x:c r="H149" s="17" t="str">
        <x:v>Pago</x:v>
      </x:c>
      <x:c r="I149" s="21" t="n">
        <x:v>442.98</x:v>
      </x:c>
    </x:row>
    <x:row r="150" ht="15" hidden="0" customHeight="1">
      <x:c r="A150" s="17" t="n">
        <x:v>150</x:v>
      </x:c>
      <x:c r="B150" s="17" t="str">
        <x:v>OP-1219</x:v>
      </x:c>
      <x:c r="C150" s="17" t="str">
        <x:v>OS-4243</x:v>
      </x:c>
      <x:c r="D150" s="17" t="str">
        <x:v>2026-04-13 00:00:00</x:v>
      </x:c>
      <x:c r="E150" s="17" t="str">
        <x:v>Embraer</x:v>
      </x:c>
      <x:c r="F150" s="17" t="str">
        <x:v>Agenda Embraer - somente motorista *Carro Embraer* - indeterminado</x:v>
      </x:c>
      <x:c r="G150" s="17" t="str">
        <x:v>Concluído</x:v>
      </x:c>
      <x:c r="H150" s="17" t="str">
        <x:v>Pago</x:v>
      </x:c>
      <x:c r="I150" s="21" t="n">
        <x:v>1169.63</x:v>
      </x:c>
    </x:row>
    <x:row r="151" ht="15" hidden="0" customHeight="1">
      <x:c r="A151" s="17" t="n">
        <x:v>151</x:v>
      </x:c>
      <x:c r="B151" s="17" t="str">
        <x:v>OP-1219</x:v>
      </x:c>
      <x:c r="C151" s="17" t="str">
        <x:v>OS-4244</x:v>
      </x:c>
      <x:c r="D151" s="17" t="str">
        <x:v>2026-04-13 00:00:00</x:v>
      </x:c>
      <x:c r="E151" s="17" t="str">
        <x:v>Embraer</x:v>
      </x:c>
      <x:c r="F151" s="17" t="str">
        <x:v>Agenda Embraer - somente motorista *Carro Embraer* - indeterminado</x:v>
      </x:c>
      <x:c r="G151" s="17" t="str">
        <x:v>Concluído</x:v>
      </x:c>
      <x:c r="H151" s="17" t="str">
        <x:v>Pago</x:v>
      </x:c>
      <x:c r="I151" s="21" t="n">
        <x:v>1169.63</x:v>
      </x:c>
    </x:row>
    <x:row r="152" ht="15" hidden="0" customHeight="1">
      <x:c r="A152" s="17" t="n">
        <x:v>152</x:v>
      </x:c>
      <x:c r="B152" s="17" t="str">
        <x:v>OP-1042</x:v>
      </x:c>
      <x:c r="C152" s="17" t="str">
        <x:v>OS-4191</x:v>
      </x:c>
      <x:c r="D152" s="17" t="str">
        <x:v>2026-04-13 04:45:00</x:v>
      </x:c>
      <x:c r="E152" s="17" t="str">
        <x:v>Johnson&amp;Johnson</x:v>
      </x:c>
      <x:c r="F152" s="17" t="str">
        <x:v>Barbara Heitzmann - +49-172-2089388</x:v>
      </x:c>
      <x:c r="G152" s="17" t="str">
        <x:v>Cancelado</x:v>
      </x:c>
      <x:c r="H152" s="17" t="str">
        <x:v>Cancelado Sem Taxa</x:v>
      </x:c>
      <x:c r="I152" s="21" t="n">
        <x:v>0</x:v>
      </x:c>
    </x:row>
    <x:row r="153" ht="15" hidden="0" customHeight="1">
      <x:c r="A153" s="17" t="n">
        <x:v>153</x:v>
      </x:c>
      <x:c r="B153" s="17" t="str">
        <x:v>OP-1045</x:v>
      </x:c>
      <x:c r="C153" s="17" t="str">
        <x:v>OS-4136</x:v>
      </x:c>
      <x:c r="D153" s="17" t="str">
        <x:v>2026-04-13 05:15:00</x:v>
      </x:c>
      <x:c r="E153" s="17" t="str">
        <x:v>Johnson&amp;Johnson</x:v>
      </x:c>
      <x:c r="F153" s="17" t="str">
        <x:v>Flavio Martins Bueno - +551299173-8155</x:v>
      </x:c>
      <x:c r="G153" s="17" t="str">
        <x:v>Concluído</x:v>
      </x:c>
      <x:c r="H153" s="17" t="str">
        <x:v>Pago</x:v>
      </x:c>
      <x:c r="I153" s="21" t="n">
        <x:v>962.65</x:v>
      </x:c>
    </x:row>
    <x:row r="154" ht="15" hidden="0" customHeight="1">
      <x:c r="A154" s="17" t="n">
        <x:v>154</x:v>
      </x:c>
      <x:c r="B154" s="17" t="str">
        <x:v>OP-1081</x:v>
      </x:c>
      <x:c r="C154" s="17" t="str">
        <x:v>OS-4248</x:v>
      </x:c>
      <x:c r="D154" s="17" t="str">
        <x:v>2026-04-13 05:30:00</x:v>
      </x:c>
      <x:c r="E154" s="17" t="str">
        <x:v>Particular</x:v>
      </x:c>
      <x:c r="F154" s="17" t="str">
        <x:v>Alvadi Serpa Junior - +1 (321) 844-1032</x:v>
      </x:c>
      <x:c r="G154" s="17" t="str">
        <x:v>Concluído</x:v>
      </x:c>
      <x:c r="H154" s="17" t="str">
        <x:v>Pago</x:v>
      </x:c>
      <x:c r="I154" s="21" t="n">
        <x:v>1073</x:v>
      </x:c>
    </x:row>
    <x:row r="155" ht="15" hidden="0" customHeight="1">
      <x:c r="A155" s="17" t="n">
        <x:v>155</x:v>
      </x:c>
      <x:c r="B155" s="17" t="str">
        <x:v>OP-1037</x:v>
      </x:c>
      <x:c r="C155" s="17" t="str">
        <x:v>OS-4233</x:v>
      </x:c>
      <x:c r="D155" s="17" t="str">
        <x:v>2026-04-13 05:30:00</x:v>
      </x:c>
      <x:c r="E155" s="17" t="str">
        <x:v>Johnson&amp;Johnson</x:v>
      </x:c>
      <x:c r="F155" s="17" t="str">
        <x:v>Fernanda Barbosa - +55 12 99154-4145</x:v>
      </x:c>
      <x:c r="G155" s="17" t="str">
        <x:v>Concluído</x:v>
      </x:c>
      <x:c r="H155" s="17" t="str">
        <x:v>Pago</x:v>
      </x:c>
      <x:c r="I155" s="21" t="n">
        <x:v>781</x:v>
      </x:c>
    </x:row>
    <x:row r="156" ht="24" hidden="0" customHeight="1">
      <x:c r="A156" s="17" t="n">
        <x:v>156</x:v>
      </x:c>
      <x:c r="B156" s="17" t="str">
        <x:v>OP-1042</x:v>
      </x:c>
      <x:c r="C156" s="17" t="str">
        <x:v>OS-4192</x:v>
      </x:c>
      <x:c r="D156" s="17" t="str">
        <x:v>2026-04-13 05:40:00</x:v>
      </x:c>
      <x:c r="E156" s="17" t="str">
        <x:v>Johnson&amp;Johnson</x:v>
      </x:c>
      <x:c r="F156" s="17" t="str">
        <x:v>Melissa Oswald - +1-904-629-5158;
Bethany Barnett - +1-904-793-3742</x:v>
      </x:c>
      <x:c r="G156" s="17" t="str">
        <x:v>Concluído</x:v>
      </x:c>
      <x:c r="H156" s="17" t="str">
        <x:v>Pago</x:v>
      </x:c>
      <x:c r="I156" s="21" t="n">
        <x:v>620.49</x:v>
      </x:c>
    </x:row>
    <x:row r="157" ht="15" hidden="0" customHeight="1">
      <x:c r="A157" s="17" t="n">
        <x:v>157</x:v>
      </x:c>
      <x:c r="B157" s="17" t="str">
        <x:v>OP-1258</x:v>
      </x:c>
      <x:c r="C157" s="17" t="str">
        <x:v>OS-4249</x:v>
      </x:c>
      <x:c r="D157" s="17" t="str">
        <x:v>2026-04-13 07:00:00</x:v>
      </x:c>
      <x:c r="E157" s="17" t="str">
        <x:v>UsisCrew</x:v>
      </x:c>
      <x:c r="F157" s="17" t="str">
        <x:v>Rafael Fernandes - +55 22 99949-7347</x:v>
      </x:c>
      <x:c r="G157" s="17" t="str">
        <x:v>Concluído</x:v>
      </x:c>
      <x:c r="H157" s="17" t="str">
        <x:v>Pago</x:v>
      </x:c>
      <x:c r="I157" s="21" t="n">
        <x:v>1650</x:v>
      </x:c>
    </x:row>
    <x:row r="158" ht="36" hidden="0" customHeight="1">
      <x:c r="A158" s="17" t="n">
        <x:v>158</x:v>
      </x:c>
      <x:c r="B158" s="17" t="str">
        <x:v>OP-1042</x:v>
      </x:c>
      <x:c r="C158" s="17" t="str">
        <x:v>OS-4193</x:v>
      </x:c>
      <x:c r="D158" s="17" t="str">
        <x:v>2026-04-13 11:00:00</x:v>
      </x:c>
      <x:c r="E158" s="17" t="str">
        <x:v>Johnson&amp;Johnson</x:v>
      </x:c>
      <x:c r="F158" s="17" t="str">
        <x:v>Melissa Oswald - +1-904-629-5158;
Bethany Barnett - +1-904-793-3742;
Jaclyn Scalone - +1-640-275-7487</x:v>
      </x:c>
      <x:c r="G158" s="17" t="str">
        <x:v>Concluído</x:v>
      </x:c>
      <x:c r="H158" s="17" t="str">
        <x:v>Pago</x:v>
      </x:c>
      <x:c r="I158" s="21" t="n">
        <x:v>348.24</x:v>
      </x:c>
    </x:row>
    <x:row r="159" ht="15" hidden="0" customHeight="1">
      <x:c r="A159" s="17" t="n">
        <x:v>159</x:v>
      </x:c>
      <x:c r="B159" s="17" t="str">
        <x:v>OP-1037</x:v>
      </x:c>
      <x:c r="C159" s="17" t="str">
        <x:v>OS-4263</x:v>
      </x:c>
      <x:c r="D159" s="17" t="str">
        <x:v>2026-04-13 15:00:00</x:v>
      </x:c>
      <x:c r="E159" s="17" t="str">
        <x:v>Johnson&amp;Johnson</x:v>
      </x:c>
      <x:c r="F159" s="17" t="str">
        <x:v>Fernanda Barbosa - +55 12 99154-4145</x:v>
      </x:c>
      <x:c r="G159" s="17" t="str">
        <x:v>Concluído</x:v>
      </x:c>
      <x:c r="H159" s="17" t="str">
        <x:v>Pago</x:v>
      </x:c>
      <x:c r="I159" s="21" t="n">
        <x:v>747.07</x:v>
      </x:c>
    </x:row>
    <x:row r="160" ht="15" hidden="0" customHeight="1">
      <x:c r="A160" s="17" t="n">
        <x:v>160</x:v>
      </x:c>
      <x:c r="B160" s="17" t="str">
        <x:v>OP-1054</x:v>
      </x:c>
      <x:c r="C160" s="17" t="str">
        <x:v>OS-4245</x:v>
      </x:c>
      <x:c r="D160" s="17" t="str">
        <x:v>2026-04-13 16:00:00</x:v>
      </x:c>
      <x:c r="E160" s="17" t="str">
        <x:v>Johnson&amp;Johnson</x:v>
      </x:c>
      <x:c r="F160" s="17" t="str">
        <x:v>Asise Fernandez - indeterminado</x:v>
      </x:c>
      <x:c r="G160" s="17" t="str">
        <x:v>Concluído</x:v>
      </x:c>
      <x:c r="H160" s="17" t="str">
        <x:v>Pago</x:v>
      </x:c>
      <x:c r="I160" s="21" t="n">
        <x:v>1306.41</x:v>
      </x:c>
    </x:row>
    <x:row r="161" ht="15" hidden="0" customHeight="1">
      <x:c r="A161" s="17" t="n">
        <x:v>161</x:v>
      </x:c>
      <x:c r="B161" s="17" t="str">
        <x:v>OP-1219</x:v>
      </x:c>
      <x:c r="C161" s="17" t="str">
        <x:v>OS-4279</x:v>
      </x:c>
      <x:c r="D161" s="17" t="str">
        <x:v>2026-04-13 17:00:00</x:v>
      </x:c>
      <x:c r="E161" s="17" t="str">
        <x:v>Embraer</x:v>
      </x:c>
      <x:c r="F161" s="17" t="str">
        <x:v>Transporte F300 - indeterminado</x:v>
      </x:c>
      <x:c r="G161" s="17" t="str">
        <x:v>Concluído</x:v>
      </x:c>
      <x:c r="H161" s="17" t="str">
        <x:v>Pago</x:v>
      </x:c>
      <x:c r="I161" s="21" t="n">
        <x:v>179.64</x:v>
      </x:c>
    </x:row>
    <x:row r="162" ht="36" hidden="0" customHeight="1">
      <x:c r="A162" s="17" t="n">
        <x:v>162</x:v>
      </x:c>
      <x:c r="B162" s="17" t="str">
        <x:v>OP-1042</x:v>
      </x:c>
      <x:c r="C162" s="17" t="str">
        <x:v>OS-4194</x:v>
      </x:c>
      <x:c r="D162" s="17" t="str">
        <x:v>2026-04-13 18:00:00</x:v>
      </x:c>
      <x:c r="E162" s="17" t="str">
        <x:v>Johnson&amp;Johnson</x:v>
      </x:c>
      <x:c r="F162" s="17" t="str">
        <x:v>Melissa Oswald - +1-904-629-5158;
Bethany Barnett - +1-904-793-3742;
Jaclyn Scalone - +1-640-275-7487</x:v>
      </x:c>
      <x:c r="G162" s="17" t="str">
        <x:v>Concluído</x:v>
      </x:c>
      <x:c r="H162" s="17" t="str">
        <x:v>Pago</x:v>
      </x:c>
      <x:c r="I162" s="21" t="n">
        <x:v>348.24</x:v>
      </x:c>
    </x:row>
    <x:row r="163" ht="15" hidden="0" customHeight="1">
      <x:c r="A163" s="17" t="n">
        <x:v>163</x:v>
      </x:c>
      <x:c r="B163" s="17" t="str">
        <x:v>OP-1219</x:v>
      </x:c>
      <x:c r="C163" s="17" t="str">
        <x:v>OS-4293</x:v>
      </x:c>
      <x:c r="D163" s="17" t="str">
        <x:v>2026-04-13 18:35:00</x:v>
      </x:c>
      <x:c r="E163" s="17" t="str">
        <x:v>Embraer</x:v>
      </x:c>
      <x:c r="F163" s="17" t="str">
        <x:v>Transporte F300 - indeterminado</x:v>
      </x:c>
      <x:c r="G163" s="17" t="str">
        <x:v>Concluído</x:v>
      </x:c>
      <x:c r="H163" s="17" t="str">
        <x:v>Pago</x:v>
      </x:c>
      <x:c r="I163" s="21" t="n">
        <x:v>179.64</x:v>
      </x:c>
    </x:row>
    <x:row r="164" ht="15" hidden="0" customHeight="1">
      <x:c r="A164" s="17" t="n">
        <x:v>164</x:v>
      </x:c>
      <x:c r="B164" s="17" t="str">
        <x:v>OP-1082</x:v>
      </x:c>
      <x:c r="C164" s="17" t="str">
        <x:v>OS-4280</x:v>
      </x:c>
      <x:c r="D164" s="17" t="str">
        <x:v>2026-04-13 23:55:00</x:v>
      </x:c>
      <x:c r="E164" s="17" t="str">
        <x:v>Particular</x:v>
      </x:c>
      <x:c r="F164" s="17" t="str">
        <x:v>Nicolás Matus - +1 (951) 334-2645</x:v>
      </x:c>
      <x:c r="G164" s="17" t="str">
        <x:v>Concluído</x:v>
      </x:c>
      <x:c r="H164" s="17" t="str">
        <x:v>Pago</x:v>
      </x:c>
      <x:c r="I164" s="21" t="n">
        <x:v>437.1</x:v>
      </x:c>
    </x:row>
    <x:row r="165" ht="15" hidden="0" customHeight="1">
      <x:c r="A165" s="17" t="n">
        <x:v>165</x:v>
      </x:c>
      <x:c r="B165" s="17" t="str">
        <x:v>OP-1052</x:v>
      </x:c>
      <x:c r="C165" s="17" t="str">
        <x:v>OS-4255</x:v>
      </x:c>
      <x:c r="D165" s="17" t="str">
        <x:v>2026-04-14 00:00:00</x:v>
      </x:c>
      <x:c r="E165" s="17" t="str">
        <x:v>Embraer</x:v>
      </x:c>
      <x:c r="F165" s="17" t="str">
        <x:v>Agenda Embraer - somente motorista *Carro Embraer* - indeterminado</x:v>
      </x:c>
      <x:c r="G165" s="17" t="str">
        <x:v>Concluído</x:v>
      </x:c>
      <x:c r="H165" s="17" t="str">
        <x:v>Pago</x:v>
      </x:c>
      <x:c r="I165" s="21" t="n">
        <x:v>1169.63</x:v>
      </x:c>
    </x:row>
    <x:row r="166" ht="15" hidden="0" customHeight="1">
      <x:c r="A166" s="17" t="n">
        <x:v>166</x:v>
      </x:c>
      <x:c r="B166" s="17" t="str">
        <x:v>OP-1052</x:v>
      </x:c>
      <x:c r="C166" s="17" t="str">
        <x:v>OS-4256</x:v>
      </x:c>
      <x:c r="D166" s="17" t="str">
        <x:v>2026-04-14 00:00:00</x:v>
      </x:c>
      <x:c r="E166" s="17" t="str">
        <x:v>Embraer</x:v>
      </x:c>
      <x:c r="F166" s="17" t="str">
        <x:v>Agenda Embraer - somente motorista *Carro Embraer* - indeterminado</x:v>
      </x:c>
      <x:c r="G166" s="17" t="str">
        <x:v>Concluído</x:v>
      </x:c>
      <x:c r="H166" s="17" t="str">
        <x:v>Pago</x:v>
      </x:c>
      <x:c r="I166" s="21" t="n">
        <x:v>1169.63</x:v>
      </x:c>
    </x:row>
    <x:row r="167" ht="15" hidden="0" customHeight="1">
      <x:c r="A167" s="17" t="n">
        <x:v>167</x:v>
      </x:c>
      <x:c r="B167" s="17" t="str">
        <x:v>OP-1054</x:v>
      </x:c>
      <x:c r="C167" s="17" t="str">
        <x:v>OS-4289</x:v>
      </x:c>
      <x:c r="D167" s="17" t="str">
        <x:v>2026-04-14 00:00:00</x:v>
      </x:c>
      <x:c r="E167" s="17" t="str">
        <x:v>Johnson&amp;Johnson</x:v>
      </x:c>
      <x:c r="F167" s="17" t="str">
        <x:v>Asise Fernandez - indeterminado</x:v>
      </x:c>
      <x:c r="G167" s="17" t="str">
        <x:v>Cancelado</x:v>
      </x:c>
      <x:c r="H167" s="17" t="str">
        <x:v>Pago</x:v>
      </x:c>
      <x:c r="I167" s="21" t="n">
        <x:v>0</x:v>
      </x:c>
    </x:row>
    <x:row r="168" ht="15" hidden="0" customHeight="1">
      <x:c r="A168" s="17" t="n">
        <x:v>168</x:v>
      </x:c>
      <x:c r="B168" s="17" t="str">
        <x:v>OP-1219</x:v>
      </x:c>
      <x:c r="C168" s="17" t="str">
        <x:v>OS-4278</x:v>
      </x:c>
      <x:c r="D168" s="17" t="str">
        <x:v>2026-04-14 05:20:00</x:v>
      </x:c>
      <x:c r="E168" s="17" t="str">
        <x:v>Embraer</x:v>
      </x:c>
      <x:c r="F168" s="17" t="str">
        <x:v>Kevin Patrick Michaels - (35) 99234-5634</x:v>
      </x:c>
      <x:c r="G168" s="17" t="str">
        <x:v>Concluído</x:v>
      </x:c>
      <x:c r="H168" s="17" t="str">
        <x:v>Pago</x:v>
      </x:c>
      <x:c r="I168" s="21" t="n">
        <x:v>464.1</x:v>
      </x:c>
    </x:row>
    <x:row r="169" ht="15" hidden="0" customHeight="1">
      <x:c r="A169" s="17" t="n">
        <x:v>169</x:v>
      </x:c>
      <x:c r="B169" s="17" t="str">
        <x:v>OP-1062</x:v>
      </x:c>
      <x:c r="C169" s="17" t="str">
        <x:v>OS-4254</x:v>
      </x:c>
      <x:c r="D169" s="17" t="str">
        <x:v>2026-04-14 06:00:00</x:v>
      </x:c>
      <x:c r="E169" s="17" t="str">
        <x:v>Johnson&amp;Johnson</x:v>
      </x:c>
      <x:c r="F169" s="17" t="str">
        <x:v>Uriel Pérez Hernández - indeterminado</x:v>
      </x:c>
      <x:c r="G169" s="17" t="str">
        <x:v>Concluído</x:v>
      </x:c>
      <x:c r="H169" s="17" t="str">
        <x:v>Pago</x:v>
      </x:c>
      <x:c r="I169" s="21" t="n">
        <x:v>780.56</x:v>
      </x:c>
    </x:row>
    <x:row r="170" ht="60" hidden="0" customHeight="1">
      <x:c r="A170" s="17" t="n">
        <x:v>170</x:v>
      </x:c>
      <x:c r="B170" s="17" t="str">
        <x:v>OP-1042</x:v>
      </x:c>
      <x:c r="C170" s="17" t="str">
        <x:v>OS-4195</x:v>
      </x:c>
      <x:c r="D170" s="17" t="str">
        <x:v>2026-04-14 07:30:00</x:v>
      </x:c>
      <x:c r="E170" s="17" t="str">
        <x:v>Johnson&amp;Johnson</x:v>
      </x:c>
      <x:c r="F170" s="17" t="str">
        <x:v>Melissa Oswald - +1-904-629-5158;
Bethany Barnett - +1-904-793-3742;
Jaclyn Scalone - +1-640-275-7487;
Barbara Heitzmann - +49-172-2089388;
Simone Dalmutt - indeterminado</x:v>
      </x:c>
      <x:c r="G170" s="17" t="str">
        <x:v>Concluído</x:v>
      </x:c>
      <x:c r="H170" s="17" t="str">
        <x:v>Pago</x:v>
      </x:c>
      <x:c r="I170" s="21" t="n">
        <x:v>1780</x:v>
      </x:c>
    </x:row>
    <x:row r="171" ht="15" hidden="0" customHeight="1">
      <x:c r="A171" s="17" t="n">
        <x:v>171</x:v>
      </x:c>
      <x:c r="B171" s="17" t="str">
        <x:v>OP-1038</x:v>
      </x:c>
      <x:c r="C171" s="17" t="str">
        <x:v>OS-4252</x:v>
      </x:c>
      <x:c r="D171" s="17" t="str">
        <x:v>2026-04-14 07:30:00</x:v>
      </x:c>
      <x:c r="E171" s="17" t="str">
        <x:v>Particular</x:v>
      </x:c>
      <x:c r="F171" s="17" t="str">
        <x:v>Sra. Angela Oliveira - +55 11 98134-8101</x:v>
      </x:c>
      <x:c r="G171" s="17" t="str">
        <x:v>Concluído</x:v>
      </x:c>
      <x:c r="H171" s="17" t="str">
        <x:v>Pago</x:v>
      </x:c>
      <x:c r="I171" s="21" t="n">
        <x:v>987.26</x:v>
      </x:c>
    </x:row>
    <x:row r="172" ht="15" hidden="0" customHeight="1">
      <x:c r="A172" s="17" t="n">
        <x:v>172</x:v>
      </x:c>
      <x:c r="B172" s="17" t="str">
        <x:v>OP-1219</x:v>
      </x:c>
      <x:c r="C172" s="17" t="str">
        <x:v>OS-4282</x:v>
      </x:c>
      <x:c r="D172" s="17" t="str">
        <x:v>2026-04-14 07:40:00</x:v>
      </x:c>
      <x:c r="E172" s="17" t="str">
        <x:v>Embraer</x:v>
      </x:c>
      <x:c r="F172" s="17" t="str">
        <x:v>Transporte F300 - indeterminado</x:v>
      </x:c>
      <x:c r="G172" s="17" t="str">
        <x:v>Concluído</x:v>
      </x:c>
      <x:c r="H172" s="17" t="str">
        <x:v>Pago</x:v>
      </x:c>
      <x:c r="I172" s="21" t="n">
        <x:v>799.14</x:v>
      </x:c>
    </x:row>
    <x:row r="173" ht="15" hidden="0" customHeight="1">
      <x:c r="A173" s="17" t="n">
        <x:v>173</x:v>
      </x:c>
      <x:c r="B173" s="17" t="str">
        <x:v>OP-1219</x:v>
      </x:c>
      <x:c r="C173" s="17" t="str">
        <x:v>OS-4292</x:v>
      </x:c>
      <x:c r="D173" s="17" t="str">
        <x:v>2026-04-14 09:00:00</x:v>
      </x:c>
      <x:c r="E173" s="17" t="str">
        <x:v>Embraer</x:v>
      </x:c>
      <x:c r="F173" s="17" t="str">
        <x:v>Kevin Patrick Michaels - (35) 99234-5634</x:v>
      </x:c>
      <x:c r="G173" s="17" t="str">
        <x:v>Concluído</x:v>
      </x:c>
      <x:c r="H173" s="17" t="str">
        <x:v>Pago</x:v>
      </x:c>
      <x:c r="I173" s="21" t="n">
        <x:v>179.64</x:v>
      </x:c>
    </x:row>
    <x:row r="174" ht="15" hidden="0" customHeight="1">
      <x:c r="A174" s="17" t="n">
        <x:v>174</x:v>
      </x:c>
      <x:c r="B174" s="17" t="str">
        <x:v>OP-1048</x:v>
      </x:c>
      <x:c r="C174" s="17" t="str">
        <x:v>OS-4349</x:v>
      </x:c>
      <x:c r="D174" s="17" t="str">
        <x:v>2026-04-14 11:30:00</x:v>
      </x:c>
      <x:c r="E174" s="17" t="str">
        <x:v>Johnson&amp;Johnson</x:v>
      </x:c>
      <x:c r="F174" s="17" t="str">
        <x:v>Mara Leticia Lopes de Rezende - +55 12 99100-9301</x:v>
      </x:c>
      <x:c r="G174" s="17" t="str">
        <x:v>Concluído</x:v>
      </x:c>
      <x:c r="H174" s="17" t="str">
        <x:v>Pago</x:v>
      </x:c>
      <x:c r="I174" s="21" t="n">
        <x:v>2210</x:v>
      </x:c>
    </x:row>
    <x:row r="175" ht="15" hidden="0" customHeight="1">
      <x:c r="A175" s="17" t="n">
        <x:v>175</x:v>
      </x:c>
      <x:c r="B175" s="17" t="str">
        <x:v>OP-1219</x:v>
      </x:c>
      <x:c r="C175" s="17" t="str">
        <x:v>OS-4283</x:v>
      </x:c>
      <x:c r="D175" s="17" t="str">
        <x:v>2026-04-14 14:00:00</x:v>
      </x:c>
      <x:c r="E175" s="17" t="str">
        <x:v>Embraer</x:v>
      </x:c>
      <x:c r="F175" s="17" t="str">
        <x:v>Transporte F300 - indeterminado</x:v>
      </x:c>
      <x:c r="G175" s="17" t="str">
        <x:v>Concluído</x:v>
      </x:c>
      <x:c r="H175" s="17" t="str">
        <x:v>Pago</x:v>
      </x:c>
      <x:c r="I175" s="21" t="n">
        <x:v>799.14</x:v>
      </x:c>
    </x:row>
    <x:row r="176" ht="15" hidden="0" customHeight="1">
      <x:c r="A176" s="17" t="n">
        <x:v>176</x:v>
      </x:c>
      <x:c r="B176" s="17" t="str">
        <x:v>OP-1079</x:v>
      </x:c>
      <x:c r="C176" s="17" t="str">
        <x:v>OS-4260</x:v>
      </x:c>
      <x:c r="D176" s="17" t="str">
        <x:v>2026-04-14 17:00:00</x:v>
      </x:c>
      <x:c r="E176" s="17" t="str">
        <x:v>Johnson&amp;Johnson</x:v>
      </x:c>
      <x:c r="F176" s="17" t="str">
        <x:v>Thiago Alves - 12 99136-3072</x:v>
      </x:c>
      <x:c r="G176" s="17" t="str">
        <x:v>Concluído</x:v>
      </x:c>
      <x:c r="H176" s="17" t="str">
        <x:v>Pago</x:v>
      </x:c>
      <x:c r="I176" s="21" t="n">
        <x:v>442.98</x:v>
      </x:c>
    </x:row>
    <x:row r="177" ht="15" hidden="0" customHeight="1">
      <x:c r="A177" s="17" t="n">
        <x:v>177</x:v>
      </x:c>
      <x:c r="B177" s="17" t="str">
        <x:v>OP-1052</x:v>
      </x:c>
      <x:c r="C177" s="17" t="str">
        <x:v>OS-4257</x:v>
      </x:c>
      <x:c r="D177" s="17" t="str">
        <x:v>2026-04-15 00:00:00</x:v>
      </x:c>
      <x:c r="E177" s="17" t="str">
        <x:v>Embraer</x:v>
      </x:c>
      <x:c r="F177" s="17" t="str">
        <x:v>Agenda Embraer - somente motorista *Carro Embraer* - indeterminado</x:v>
      </x:c>
      <x:c r="G177" s="17" t="str">
        <x:v>Cancelado</x:v>
      </x:c>
      <x:c r="H177" s="17" t="str">
        <x:v>Pago</x:v>
      </x:c>
      <x:c r="I177" s="21" t="n">
        <x:v>0</x:v>
      </x:c>
    </x:row>
    <x:row r="178" ht="15" hidden="0" customHeight="1">
      <x:c r="A178" s="17" t="n">
        <x:v>178</x:v>
      </x:c>
      <x:c r="B178" s="17" t="str">
        <x:v>OP-1052</x:v>
      </x:c>
      <x:c r="C178" s="17" t="str">
        <x:v>OS-4258</x:v>
      </x:c>
      <x:c r="D178" s="17" t="str">
        <x:v>2026-04-15 00:00:00</x:v>
      </x:c>
      <x:c r="E178" s="17" t="str">
        <x:v>Embraer</x:v>
      </x:c>
      <x:c r="F178" s="17" t="str">
        <x:v>Agenda Embraer - somente motorista *Carro Embraer* - indeterminado</x:v>
      </x:c>
      <x:c r="G178" s="17" t="str">
        <x:v>Concluído</x:v>
      </x:c>
      <x:c r="H178" s="17" t="str">
        <x:v>Pago</x:v>
      </x:c>
      <x:c r="I178" s="21" t="n">
        <x:v>1169.63</x:v>
      </x:c>
    </x:row>
    <x:row r="179" ht="15" hidden="0" customHeight="1">
      <x:c r="A179" s="17" t="n">
        <x:v>179</x:v>
      </x:c>
      <x:c r="B179" s="17" t="str">
        <x:v>OP-1219</x:v>
      </x:c>
      <x:c r="C179" s="17" t="str">
        <x:v>OS-4306</x:v>
      </x:c>
      <x:c r="D179" s="17" t="str">
        <x:v>2026-04-15 04:30:00</x:v>
      </x:c>
      <x:c r="E179" s="17" t="str">
        <x:v>Embraer</x:v>
      </x:c>
      <x:c r="F179" s="17" t="str">
        <x:v>RAPHAEL FERNANDES FREIRE - (21) 98008-4041</x:v>
      </x:c>
      <x:c r="G179" s="17" t="str">
        <x:v>Concluído</x:v>
      </x:c>
      <x:c r="H179" s="17" t="str">
        <x:v>Pago</x:v>
      </x:c>
      <x:c r="I179" s="21" t="n">
        <x:v>464.1</x:v>
      </x:c>
    </x:row>
    <x:row r="180" ht="15" hidden="0" customHeight="1">
      <x:c r="A180" s="17" t="n">
        <x:v>180</x:v>
      </x:c>
      <x:c r="B180" s="17" t="str">
        <x:v>OP-1219</x:v>
      </x:c>
      <x:c r="C180" s="17" t="str">
        <x:v>OS-4307</x:v>
      </x:c>
      <x:c r="D180" s="17" t="str">
        <x:v>2026-04-15 05:00:00</x:v>
      </x:c>
      <x:c r="E180" s="17" t="str">
        <x:v>Embraer</x:v>
      </x:c>
      <x:c r="F180" s="17" t="str">
        <x:v>MEGHA BHATIA - indeterminado</x:v>
      </x:c>
      <x:c r="G180" s="17" t="str">
        <x:v>Concluído</x:v>
      </x:c>
      <x:c r="H180" s="17" t="str">
        <x:v>Pago</x:v>
      </x:c>
      <x:c r="I180" s="21" t="n">
        <x:v>1997.21</x:v>
      </x:c>
    </x:row>
    <x:row r="181" ht="15" hidden="0" customHeight="1">
      <x:c r="A181" s="17" t="n">
        <x:v>181</x:v>
      </x:c>
      <x:c r="B181" s="17" t="str">
        <x:v>OP-1054</x:v>
      </x:c>
      <x:c r="C181" s="17" t="str">
        <x:v>OS-4290</x:v>
      </x:c>
      <x:c r="D181" s="17" t="str">
        <x:v>2026-04-15 05:30:00</x:v>
      </x:c>
      <x:c r="E181" s="17" t="str">
        <x:v>Johnson&amp;Johnson</x:v>
      </x:c>
      <x:c r="F181" s="17" t="str">
        <x:v>Asise Fernandez - indeterminado</x:v>
      </x:c>
      <x:c r="G181" s="17" t="str">
        <x:v>Concluído</x:v>
      </x:c>
      <x:c r="H181" s="17" t="str">
        <x:v>Pago</x:v>
      </x:c>
      <x:c r="I181" s="21" t="n">
        <x:v>725</x:v>
      </x:c>
    </x:row>
    <x:row r="182" ht="15" hidden="0" customHeight="1">
      <x:c r="A182" s="17" t="n">
        <x:v>182</x:v>
      </x:c>
      <x:c r="B182" s="17" t="str">
        <x:v>OP-1219</x:v>
      </x:c>
      <x:c r="C182" s="17" t="str">
        <x:v>OS-4309</x:v>
      </x:c>
      <x:c r="D182" s="17" t="str">
        <x:v>2026-04-15 07:20:00</x:v>
      </x:c>
      <x:c r="E182" s="17" t="str">
        <x:v>Embraer</x:v>
      </x:c>
      <x:c r="F182" s="17" t="str">
        <x:v>BRANDON TIMOTHY REED - indeterminado</x:v>
      </x:c>
      <x:c r="G182" s="17" t="str">
        <x:v>Concluído</x:v>
      </x:c>
      <x:c r="H182" s="17" t="str">
        <x:v>Pago</x:v>
      </x:c>
      <x:c r="I182" s="21" t="n">
        <x:v>666.34</x:v>
      </x:c>
    </x:row>
    <x:row r="183" ht="15" hidden="0" customHeight="1">
      <x:c r="A183" s="17" t="n">
        <x:v>183</x:v>
      </x:c>
      <x:c r="B183" s="17" t="str">
        <x:v>OP-1192</x:v>
      </x:c>
      <x:c r="C183" s="17" t="str">
        <x:v>OS-4220</x:v>
      </x:c>
      <x:c r="D183" s="17" t="str">
        <x:v>2026-04-15 07:45:00</x:v>
      </x:c>
      <x:c r="E183" s="17" t="str">
        <x:v>Johnson&amp;Johnson</x:v>
      </x:c>
      <x:c r="F183" s="17" t="str">
        <x:v>Isabela Andrade - +55 12 982229040</x:v>
      </x:c>
      <x:c r="G183" s="17" t="str">
        <x:v>Concluído</x:v>
      </x:c>
      <x:c r="H183" s="17" t="str">
        <x:v>Pago</x:v>
      </x:c>
      <x:c r="I183" s="21" t="n">
        <x:v>2651.03</x:v>
      </x:c>
    </x:row>
    <x:row r="184" ht="15" hidden="0" customHeight="1">
      <x:c r="A184" s="17" t="n">
        <x:v>184</x:v>
      </x:c>
      <x:c r="B184" s="17" t="str">
        <x:v>OP-1051</x:v>
      </x:c>
      <x:c r="C184" s="17" t="str">
        <x:v>OS-4311</x:v>
      </x:c>
      <x:c r="D184" s="17" t="str">
        <x:v>2026-04-15 08:00:00</x:v>
      </x:c>
      <x:c r="E184" s="17" t="str">
        <x:v>Johnson&amp;Johnson</x:v>
      </x:c>
      <x:c r="F184" s="17" t="str">
        <x:v>Natalia Cristina Mor - 12 98140-2982 </x:v>
      </x:c>
      <x:c r="G184" s="17" t="str">
        <x:v>Concluído</x:v>
      </x:c>
      <x:c r="H184" s="17" t="str">
        <x:v>Pago</x:v>
      </x:c>
      <x:c r="I184" s="21" t="n">
        <x:v>1207.05</x:v>
      </x:c>
    </x:row>
    <x:row r="185" ht="15" hidden="0" customHeight="1">
      <x:c r="A185" s="17" t="n">
        <x:v>185</x:v>
      </x:c>
      <x:c r="B185" s="17" t="str">
        <x:v>OP-1219</x:v>
      </x:c>
      <x:c r="C185" s="17" t="str">
        <x:v>OS-4313</x:v>
      </x:c>
      <x:c r="D185" s="17" t="str">
        <x:v>2026-04-15 08:35:00</x:v>
      </x:c>
      <x:c r="E185" s="17" t="str">
        <x:v>Embraer</x:v>
      </x:c>
      <x:c r="F185" s="17" t="str">
        <x:v>Transporte F300 - indeterminado</x:v>
      </x:c>
      <x:c r="G185" s="17" t="str">
        <x:v>Concluído</x:v>
      </x:c>
      <x:c r="H185" s="17" t="str">
        <x:v>Pago</x:v>
      </x:c>
      <x:c r="I185" s="21" t="n">
        <x:v>179.64</x:v>
      </x:c>
    </x:row>
    <x:row r="186" ht="24" hidden="0" customHeight="1">
      <x:c r="A186" s="17" t="n">
        <x:v>186</x:v>
      </x:c>
      <x:c r="B186" s="17" t="str">
        <x:v>OP-1219</x:v>
      </x:c>
      <x:c r="C186" s="17" t="str">
        <x:v>OS-4310</x:v>
      </x:c>
      <x:c r="D186" s="17" t="str">
        <x:v>2026-04-15 09:20:00</x:v>
      </x:c>
      <x:c r="E186" s="17" t="str">
        <x:v>Embraer</x:v>
      </x:c>
      <x:c r="F186" s="17" t="str">
        <x:v>CLAUDENIR CHAMORRO PELEGRINA - (12)9815-2484;
MARIO NEY CAMPOS GOMES MONTEIRO - (01) 29911-8082</x:v>
      </x:c>
      <x:c r="G186" s="17" t="str">
        <x:v>Concluído</x:v>
      </x:c>
      <x:c r="H186" s="17" t="str">
        <x:v>Pago</x:v>
      </x:c>
      <x:c r="I186" s="21" t="n">
        <x:v>1803.84</x:v>
      </x:c>
    </x:row>
    <x:row r="187" ht="15" hidden="0" customHeight="1">
      <x:c r="A187" s="17" t="n">
        <x:v>187</x:v>
      </x:c>
      <x:c r="B187" s="17" t="str">
        <x:v>OP-1047</x:v>
      </x:c>
      <x:c r="C187" s="17" t="str">
        <x:v>OS-4317</x:v>
      </x:c>
      <x:c r="D187" s="17" t="str">
        <x:v>2026-04-15 12:00:00</x:v>
      </x:c>
      <x:c r="E187" s="17" t="str">
        <x:v>Johnson&amp;Johnson</x:v>
      </x:c>
      <x:c r="F187" s="17" t="str">
        <x:v>Leandro carvalho - 12 99158-0060</x:v>
      </x:c>
      <x:c r="G187" s="17" t="str">
        <x:v>Concluído</x:v>
      </x:c>
      <x:c r="H187" s="17" t="str">
        <x:v>Pago</x:v>
      </x:c>
      <x:c r="I187" s="21" t="n">
        <x:v>624.18</x:v>
      </x:c>
    </x:row>
    <x:row r="188" ht="15" hidden="0" customHeight="1">
      <x:c r="A188" s="17" t="n">
        <x:v>188</x:v>
      </x:c>
      <x:c r="B188" s="17" t="str">
        <x:v>OP-1050</x:v>
      </x:c>
      <x:c r="C188" s="17" t="str">
        <x:v>OS-4294</x:v>
      </x:c>
      <x:c r="D188" s="17" t="str">
        <x:v>2026-04-15 15:00:00</x:v>
      </x:c>
      <x:c r="E188" s="17" t="str">
        <x:v>Johnson&amp;Johnson</x:v>
      </x:c>
      <x:c r="F188" s="17" t="str">
        <x:v>Carolina Huang - +55 15 99858-2119</x:v>
      </x:c>
      <x:c r="G188" s="17" t="str">
        <x:v>Concluído</x:v>
      </x:c>
      <x:c r="H188" s="17" t="str">
        <x:v>Pago</x:v>
      </x:c>
      <x:c r="I188" s="21" t="n">
        <x:v>911.01</x:v>
      </x:c>
    </x:row>
    <x:row r="189" ht="15" hidden="0" customHeight="1">
      <x:c r="A189" s="17" t="n">
        <x:v>189</x:v>
      </x:c>
      <x:c r="B189" s="17" t="str">
        <x:v>OP-1219</x:v>
      </x:c>
      <x:c r="C189" s="17" t="str">
        <x:v>OS-4344</x:v>
      </x:c>
      <x:c r="D189" s="17" t="str">
        <x:v>2026-04-15 17:00:00</x:v>
      </x:c>
      <x:c r="E189" s="17" t="str">
        <x:v>Embraer</x:v>
      </x:c>
      <x:c r="F189" s="17" t="str">
        <x:v>Transporte F300 - indeterminado</x:v>
      </x:c>
      <x:c r="G189" s="17" t="str">
        <x:v>Concluído</x:v>
      </x:c>
      <x:c r="H189" s="17" t="str">
        <x:v>Pago</x:v>
      </x:c>
      <x:c r="I189" s="21" t="n">
        <x:v>179.64</x:v>
      </x:c>
    </x:row>
    <x:row r="190" ht="15" hidden="0" customHeight="1">
      <x:c r="A190" s="17" t="n">
        <x:v>190</x:v>
      </x:c>
      <x:c r="B190" s="17" t="str">
        <x:v>OP-1129</x:v>
      </x:c>
      <x:c r="C190" s="17" t="str">
        <x:v>OS-4320</x:v>
      </x:c>
      <x:c r="D190" s="17" t="str">
        <x:v>2026-04-15 17:15:00</x:v>
      </x:c>
      <x:c r="E190" s="17" t="str">
        <x:v>Boeing</x:v>
      </x:c>
      <x:c r="F190" s="17" t="str">
        <x:v>William G. Silva - 12 99683-4366</x:v>
      </x:c>
      <x:c r="G190" s="17" t="str">
        <x:v>Concluído</x:v>
      </x:c>
      <x:c r="H190" s="17" t="str">
        <x:v>Pago</x:v>
      </x:c>
      <x:c r="I190" s="21" t="n">
        <x:v>396.05</x:v>
      </x:c>
    </x:row>
    <x:row r="191" ht="15" hidden="0" customHeight="1">
      <x:c r="A191" s="17" t="n">
        <x:v>191</x:v>
      </x:c>
      <x:c r="B191" s="17" t="str">
        <x:v>OP-1219</x:v>
      </x:c>
      <x:c r="C191" s="17" t="str">
        <x:v>OS-4308</x:v>
      </x:c>
      <x:c r="D191" s="17" t="str">
        <x:v>2026-04-15 19:50:00</x:v>
      </x:c>
      <x:c r="E191" s="17" t="str">
        <x:v>Embraer</x:v>
      </x:c>
      <x:c r="F191" s="17" t="str">
        <x:v>JOEL FAERMANN - (12) 99123-9609</x:v>
      </x:c>
      <x:c r="G191" s="17" t="str">
        <x:v>Concluído</x:v>
      </x:c>
      <x:c r="H191" s="17" t="str">
        <x:v>Pago</x:v>
      </x:c>
      <x:c r="I191" s="21" t="n">
        <x:v>464.1</x:v>
      </x:c>
    </x:row>
    <x:row r="192" ht="15" hidden="0" customHeight="1">
      <x:c r="A192" s="17" t="n">
        <x:v>192</x:v>
      </x:c>
      <x:c r="B192" s="17" t="str">
        <x:v>OP-1054</x:v>
      </x:c>
      <x:c r="C192" s="17" t="str">
        <x:v>OS-4304</x:v>
      </x:c>
      <x:c r="D192" s="17" t="str">
        <x:v>2026-04-15 20:55:00</x:v>
      </x:c>
      <x:c r="E192" s="17" t="str">
        <x:v>Johnson&amp;Johnson</x:v>
      </x:c>
      <x:c r="F192" s="17" t="str">
        <x:v>Asise Fernandez - indeterminado</x:v>
      </x:c>
      <x:c r="G192" s="17" t="str">
        <x:v>Cancelado com Ressalvas</x:v>
      </x:c>
      <x:c r="H192" s="17" t="str">
        <x:v>Pago</x:v>
      </x:c>
      <x:c r="I192" s="21" t="n">
        <x:v>0</x:v>
      </x:c>
    </x:row>
    <x:row r="193" ht="15" hidden="0" customHeight="1">
      <x:c r="A193" s="17" t="n">
        <x:v>193</x:v>
      </x:c>
      <x:c r="B193" s="17" t="str">
        <x:v>OP-1052</x:v>
      </x:c>
      <x:c r="C193" s="17" t="str">
        <x:v>OS-4345</x:v>
      </x:c>
      <x:c r="D193" s="17" t="str">
        <x:v>2026-04-16 00:00:00</x:v>
      </x:c>
      <x:c r="E193" s="17" t="str">
        <x:v>Embraer</x:v>
      </x:c>
      <x:c r="F193" s="17" t="str">
        <x:v>Agenda Embraer - somente motorista *Carro Embraer* - indeterminado</x:v>
      </x:c>
      <x:c r="G193" s="17" t="str">
        <x:v>Concluído</x:v>
      </x:c>
      <x:c r="H193" s="17" t="str">
        <x:v>Pago</x:v>
      </x:c>
      <x:c r="I193" s="21" t="n">
        <x:v>1169.63</x:v>
      </x:c>
    </x:row>
    <x:row r="194" ht="15" hidden="0" customHeight="1">
      <x:c r="A194" s="17" t="n">
        <x:v>194</x:v>
      </x:c>
      <x:c r="B194" s="17" t="str">
        <x:v>OP-1219</x:v>
      </x:c>
      <x:c r="C194" s="17" t="str">
        <x:v>OS-4336</x:v>
      </x:c>
      <x:c r="D194" s="17" t="str">
        <x:v>2026-04-16 05:00:00</x:v>
      </x:c>
      <x:c r="E194" s="17" t="str">
        <x:v>Embraer</x:v>
      </x:c>
      <x:c r="F194" s="17" t="str">
        <x:v>MAURO KERN JUNIOR - (12) 99156-9140</x:v>
      </x:c>
      <x:c r="G194" s="17" t="str">
        <x:v>Concluído</x:v>
      </x:c>
      <x:c r="H194" s="17" t="str">
        <x:v>Pago</x:v>
      </x:c>
      <x:c r="I194" s="21" t="n">
        <x:v>2334.05</x:v>
      </x:c>
    </x:row>
    <x:row r="195" ht="15" hidden="0" customHeight="1">
      <x:c r="A195" s="17" t="n">
        <x:v>195</x:v>
      </x:c>
      <x:c r="B195" s="17" t="str">
        <x:v>OP-1219</x:v>
      </x:c>
      <x:c r="C195" s="17" t="str">
        <x:v>OS-4337</x:v>
      </x:c>
      <x:c r="D195" s="17" t="str">
        <x:v>2026-04-16 06:45:00</x:v>
      </x:c>
      <x:c r="E195" s="17" t="str">
        <x:v>Embraer</x:v>
      </x:c>
      <x:c r="F195" s="17" t="str">
        <x:v>CARLOS ALEXANDRE CENDRETTE - (12)9156-9382</x:v>
      </x:c>
      <x:c r="G195" s="17" t="str">
        <x:v>Concluído</x:v>
      </x:c>
      <x:c r="H195" s="17" t="str">
        <x:v>Pago</x:v>
      </x:c>
      <x:c r="I195" s="21" t="n">
        <x:v>1295.47</x:v>
      </x:c>
    </x:row>
    <x:row r="196" ht="24" hidden="0" customHeight="1">
      <x:c r="A196" s="17" t="n">
        <x:v>196</x:v>
      </x:c>
      <x:c r="B196" s="17" t="str">
        <x:v>OP-1219</x:v>
      </x:c>
      <x:c r="C196" s="17" t="str">
        <x:v>OS-4338</x:v>
      </x:c>
      <x:c r="D196" s="17" t="str">
        <x:v>2026-04-16 07:00:00</x:v>
      </x:c>
      <x:c r="E196" s="17" t="str">
        <x:v>Embraer</x:v>
      </x:c>
      <x:c r="F196" s="17" t="str">
        <x:v>BRANDON TIMOTHY REED - indeterminado;
MEGHA BHATIA - indeterminado</x:v>
      </x:c>
      <x:c r="G196" s="17" t="str">
        <x:v>Concluído</x:v>
      </x:c>
      <x:c r="H196" s="17" t="str">
        <x:v>Pago</x:v>
      </x:c>
      <x:c r="I196" s="21" t="n">
        <x:v>2051.85</x:v>
      </x:c>
    </x:row>
    <x:row r="197" ht="15" hidden="0" customHeight="1">
      <x:c r="A197" s="17" t="n">
        <x:v>197</x:v>
      </x:c>
      <x:c r="B197" s="17" t="str">
        <x:v>OP-1082</x:v>
      </x:c>
      <x:c r="C197" s="17" t="str">
        <x:v>OS-4281</x:v>
      </x:c>
      <x:c r="D197" s="17" t="str">
        <x:v>2026-04-16 07:30:00</x:v>
      </x:c>
      <x:c r="E197" s="17" t="str">
        <x:v>Particular</x:v>
      </x:c>
      <x:c r="F197" s="17" t="str">
        <x:v>Nicolás Matus - +1 (951) 334-2645</x:v>
      </x:c>
      <x:c r="G197" s="17" t="str">
        <x:v>Concluído</x:v>
      </x:c>
      <x:c r="H197" s="17" t="str">
        <x:v>Pago</x:v>
      </x:c>
      <x:c r="I197" s="21" t="n">
        <x:v>437.1</x:v>
      </x:c>
    </x:row>
    <x:row r="198" ht="15" hidden="0" customHeight="1">
      <x:c r="A198" s="17" t="n">
        <x:v>198</x:v>
      </x:c>
      <x:c r="B198" s="17" t="str">
        <x:v>OP-1219</x:v>
      </x:c>
      <x:c r="C198" s="17" t="str">
        <x:v>OS-4339</x:v>
      </x:c>
      <x:c r="D198" s="17" t="str">
        <x:v>2026-04-16 08:15:00</x:v>
      </x:c>
      <x:c r="E198" s="17" t="str">
        <x:v>Embraer</x:v>
      </x:c>
      <x:c r="F198" s="17" t="str">
        <x:v>Kevin Patrick Michaels - (35) 99234-5634</x:v>
      </x:c>
      <x:c r="G198" s="17" t="str">
        <x:v>Concluído</x:v>
      </x:c>
      <x:c r="H198" s="17" t="str">
        <x:v>Pago</x:v>
      </x:c>
      <x:c r="I198" s="21" t="n">
        <x:v>1782.34</x:v>
      </x:c>
    </x:row>
    <x:row r="199" ht="15" hidden="0" customHeight="1">
      <x:c r="A199" s="17" t="n">
        <x:v>199</x:v>
      </x:c>
      <x:c r="B199" s="17" t="str">
        <x:v>OP-1219</x:v>
      </x:c>
      <x:c r="C199" s="17" t="str">
        <x:v>OS-4346</x:v>
      </x:c>
      <x:c r="D199" s="17" t="str">
        <x:v>2026-04-16 08:35:00</x:v>
      </x:c>
      <x:c r="E199" s="17" t="str">
        <x:v>Embraer</x:v>
      </x:c>
      <x:c r="F199" s="17" t="str">
        <x:v>Transporte F300 - indeterminado</x:v>
      </x:c>
      <x:c r="G199" s="17" t="str">
        <x:v>Concluído</x:v>
      </x:c>
      <x:c r="H199" s="17" t="str">
        <x:v>Pago</x:v>
      </x:c>
      <x:c r="I199" s="21" t="n">
        <x:v>179.64</x:v>
      </x:c>
    </x:row>
    <x:row r="200" ht="15" hidden="0" customHeight="1">
      <x:c r="A200" s="17" t="n">
        <x:v>200</x:v>
      </x:c>
      <x:c r="B200" s="17" t="str">
        <x:v>OP-1175</x:v>
      </x:c>
      <x:c r="C200" s="17" t="str">
        <x:v>OS-4259</x:v>
      </x:c>
      <x:c r="D200" s="17" t="str">
        <x:v>2026-04-16 13:40:00</x:v>
      </x:c>
      <x:c r="E200" s="17" t="str">
        <x:v>Boeing</x:v>
      </x:c>
      <x:c r="F200" s="17" t="str">
        <x:v>Carla Daiana Oliveira - +55 19 99828-7623</x:v>
      </x:c>
      <x:c r="G200" s="17" t="str">
        <x:v>Concluído</x:v>
      </x:c>
      <x:c r="H200" s="17" t="str">
        <x:v>Pago</x:v>
      </x:c>
      <x:c r="I200" s="21" t="n">
        <x:v>396.05</x:v>
      </x:c>
    </x:row>
    <x:row r="201" ht="15" hidden="0" customHeight="1">
      <x:c r="A201" s="17" t="n">
        <x:v>201</x:v>
      </x:c>
      <x:c r="B201" s="17" t="str">
        <x:v>OP-1219</x:v>
      </x:c>
      <x:c r="C201" s="17" t="str">
        <x:v>OS-4362</x:v>
      </x:c>
      <x:c r="D201" s="17" t="str">
        <x:v>2026-04-16 14:00:00</x:v>
      </x:c>
      <x:c r="E201" s="17" t="str">
        <x:v>Embraer</x:v>
      </x:c>
      <x:c r="F201" s="17" t="str">
        <x:v>Transporte F300 - indeterminado</x:v>
      </x:c>
      <x:c r="G201" s="17" t="str">
        <x:v>Concluído</x:v>
      </x:c>
      <x:c r="H201" s="17" t="str">
        <x:v>Pago</x:v>
      </x:c>
      <x:c r="I201" s="21" t="n">
        <x:v>179.64</x:v>
      </x:c>
    </x:row>
    <x:row r="202" ht="15" hidden="0" customHeight="1">
      <x:c r="A202" s="17" t="n">
        <x:v>202</x:v>
      </x:c>
      <x:c r="B202" s="17" t="str">
        <x:v>OP-1054</x:v>
      </x:c>
      <x:c r="C202" s="17" t="str">
        <x:v>OS-4291</x:v>
      </x:c>
      <x:c r="D202" s="17" t="str">
        <x:v>2026-04-16 14:00:00</x:v>
      </x:c>
      <x:c r="E202" s="17" t="str">
        <x:v>Johnson&amp;Johnson</x:v>
      </x:c>
      <x:c r="F202" s="17" t="str">
        <x:v>Asise Fernandez - indeterminado</x:v>
      </x:c>
      <x:c r="G202" s="17" t="str">
        <x:v>Concluído</x:v>
      </x:c>
      <x:c r="H202" s="17" t="str">
        <x:v>Pago</x:v>
      </x:c>
      <x:c r="I202" s="21" t="n">
        <x:v>1116.9</x:v>
      </x:c>
    </x:row>
    <x:row r="203" ht="15" hidden="0" customHeight="1">
      <x:c r="A203" s="17" t="n">
        <x:v>203</x:v>
      </x:c>
      <x:c r="B203" s="17" t="str">
        <x:v>OP-1219</x:v>
      </x:c>
      <x:c r="C203" s="17" t="str">
        <x:v>OS-4342</x:v>
      </x:c>
      <x:c r="D203" s="17" t="str">
        <x:v>2026-04-16 17:00:00</x:v>
      </x:c>
      <x:c r="E203" s="17" t="str">
        <x:v>Embraer</x:v>
      </x:c>
      <x:c r="F203" s="17" t="str">
        <x:v>BRANDON TIMOTHY REED - indeterminado</x:v>
      </x:c>
      <x:c r="G203" s="17" t="str">
        <x:v>Concluído</x:v>
      </x:c>
      <x:c r="H203" s="17" t="str">
        <x:v>Pago</x:v>
      </x:c>
      <x:c r="I203" s="21" t="n">
        <x:v>0</x:v>
      </x:c>
    </x:row>
    <x:row r="204" ht="24" hidden="0" customHeight="1">
      <x:c r="A204" s="17" t="n">
        <x:v>204</x:v>
      </x:c>
      <x:c r="B204" s="17" t="str">
        <x:v>OP-1219</x:v>
      </x:c>
      <x:c r="C204" s="17" t="str">
        <x:v>OS-4370</x:v>
      </x:c>
      <x:c r="D204" s="17" t="str">
        <x:v>2026-04-16 17:00:00</x:v>
      </x:c>
      <x:c r="E204" s="17" t="str">
        <x:v>Embraer</x:v>
      </x:c>
      <x:c r="F204" s="17" t="str">
        <x:v>BRANDON TIMOTHY REED - indeterminado;
MEGHA BHATIA - indeterminado</x:v>
      </x:c>
      <x:c r="G204" s="17" t="str">
        <x:v>Concluído</x:v>
      </x:c>
      <x:c r="H204" s="17" t="str">
        <x:v>Pago</x:v>
      </x:c>
      <x:c r="I204" s="21" t="n">
        <x:v>397.1</x:v>
      </x:c>
    </x:row>
    <x:row r="205" ht="15" hidden="0" customHeight="1">
      <x:c r="A205" s="17" t="n">
        <x:v>205</x:v>
      </x:c>
      <x:c r="B205" s="17" t="str">
        <x:v>OP-1219</x:v>
      </x:c>
      <x:c r="C205" s="17" t="str">
        <x:v>OS-4357</x:v>
      </x:c>
      <x:c r="D205" s="17" t="str">
        <x:v>2026-04-16 20:00:00</x:v>
      </x:c>
      <x:c r="E205" s="17" t="str">
        <x:v>Embraer</x:v>
      </x:c>
      <x:c r="F205" s="17" t="str">
        <x:v>FABIO FURBETA PIRANI - (12) 99620-9497</x:v>
      </x:c>
      <x:c r="G205" s="17" t="str">
        <x:v>Concluído</x:v>
      </x:c>
      <x:c r="H205" s="17" t="str">
        <x:v>Pago</x:v>
      </x:c>
      <x:c r="I205" s="21" t="n">
        <x:v>464.1</x:v>
      </x:c>
    </x:row>
    <x:row r="206" ht="15" hidden="0" customHeight="1">
      <x:c r="A206" s="17" t="n">
        <x:v>206</x:v>
      </x:c>
      <x:c r="B206" s="17" t="str">
        <x:v>OP-1053</x:v>
      </x:c>
      <x:c r="C206" s="17" t="str">
        <x:v>9367</x:v>
      </x:c>
      <x:c r="D206" s="17" t="str">
        <x:v>2026-04-17 05:55:00</x:v>
      </x:c>
      <x:c r="E206" s="17" t="str">
        <x:v>Johnson&amp;Johnson</x:v>
      </x:c>
      <x:c r="F206" s="17" t="str">
        <x:v>Thiago Morandini  - +55 12 99173-7341</x:v>
      </x:c>
      <x:c r="G206" s="17" t="str">
        <x:v>Concluído</x:v>
      </x:c>
      <x:c r="H206" s="17" t="str">
        <x:v>Pago</x:v>
      </x:c>
      <x:c r="I206" s="21" t="n">
        <x:v>509.98</x:v>
      </x:c>
    </x:row>
    <x:row r="207" ht="15" hidden="0" customHeight="1">
      <x:c r="A207" s="17" t="n">
        <x:v>207</x:v>
      </x:c>
      <x:c r="B207" s="17" t="str">
        <x:v>OP-1071</x:v>
      </x:c>
      <x:c r="C207" s="17" t="str">
        <x:v>OS-4324</x:v>
      </x:c>
      <x:c r="D207" s="17" t="str">
        <x:v>2026-04-17 06:00:00</x:v>
      </x:c>
      <x:c r="E207" s="17" t="str">
        <x:v>Particular</x:v>
      </x:c>
      <x:c r="F207" s="17" t="str">
        <x:v>Allan McAllister - +44 7795 461469</x:v>
      </x:c>
      <x:c r="G207" s="17" t="str">
        <x:v>Concluído</x:v>
      </x:c>
      <x:c r="H207" s="17" t="str">
        <x:v>Pago</x:v>
      </x:c>
      <x:c r="I207" s="21" t="n">
        <x:v>615.33</x:v>
      </x:c>
    </x:row>
    <x:row r="208" ht="15" hidden="0" customHeight="1">
      <x:c r="A208" s="17" t="n">
        <x:v>208</x:v>
      </x:c>
      <x:c r="B208" s="17" t="str">
        <x:v>OP-1056</x:v>
      </x:c>
      <x:c r="C208" s="17" t="str">
        <x:v>OS-4374</x:v>
      </x:c>
      <x:c r="D208" s="17" t="str">
        <x:v>2026-04-17 06:45:00</x:v>
      </x:c>
      <x:c r="E208" s="17" t="str">
        <x:v>Boeing</x:v>
      </x:c>
      <x:c r="F208" s="17" t="str">
        <x:v>Rodrigo Ventura - +55 12 97403-8375</x:v>
      </x:c>
      <x:c r="G208" s="17" t="str">
        <x:v>Concluído</x:v>
      </x:c>
      <x:c r="H208" s="17" t="str">
        <x:v>Pago</x:v>
      </x:c>
      <x:c r="I208" s="21" t="n">
        <x:v>463.05</x:v>
      </x:c>
    </x:row>
    <x:row r="209" ht="24" hidden="0" customHeight="1">
      <x:c r="A209" s="17" t="n">
        <x:v>209</x:v>
      </x:c>
      <x:c r="B209" s="17" t="str">
        <x:v>OP-1219</x:v>
      </x:c>
      <x:c r="C209" s="17" t="str">
        <x:v>OS-4358</x:v>
      </x:c>
      <x:c r="D209" s="17" t="str">
        <x:v>2026-04-17 06:55:00</x:v>
      </x:c>
      <x:c r="E209" s="17" t="str">
        <x:v>Embraer</x:v>
      </x:c>
      <x:c r="F209" s="17" t="str">
        <x:v>RODRIGO SALGADO DE AZEVEDO - (12) 98180-1617;
LUMI GALADRIEL SILVA MORIMITSU - indeterminado</x:v>
      </x:c>
      <x:c r="G209" s="17" t="str">
        <x:v>Concluído</x:v>
      </x:c>
      <x:c r="H209" s="17" t="str">
        <x:v>Pago</x:v>
      </x:c>
      <x:c r="I209" s="21" t="n">
        <x:v>569.89</x:v>
      </x:c>
    </x:row>
    <x:row r="210" ht="36" hidden="0" customHeight="1">
      <x:c r="A210" s="17" t="n">
        <x:v>210</x:v>
      </x:c>
      <x:c r="B210" s="17" t="str">
        <x:v>OP-1121</x:v>
      </x:c>
      <x:c r="C210" s="17" t="str">
        <x:v>OS-4116</x:v>
      </x:c>
      <x:c r="D210" s="17" t="str">
        <x:v>2026-04-17 08:45:00</x:v>
      </x:c>
      <x:c r="E210" s="17" t="str">
        <x:v>Johnson&amp;Johnson</x:v>
      </x:c>
      <x:c r="F210" s="17" t="str">
        <x:v>Paulo Gregório Borba - +55 12 99181-5538;
Daniel de Oliveira - +55 12 99727-6497;
André Luis Santos - +55 12 99782-6618</x:v>
      </x:c>
      <x:c r="G210" s="17" t="str">
        <x:v>Concluído</x:v>
      </x:c>
      <x:c r="H210" s="17" t="str">
        <x:v>Pago</x:v>
      </x:c>
      <x:c r="I210" s="21" t="n">
        <x:v>607.74</x:v>
      </x:c>
    </x:row>
    <x:row r="211" ht="15" hidden="0" customHeight="1">
      <x:c r="A211" s="17" t="n">
        <x:v>211</x:v>
      </x:c>
      <x:c r="B211" s="17" t="str">
        <x:v>OP-1219</x:v>
      </x:c>
      <x:c r="C211" s="17" t="str">
        <x:v>OS-4359</x:v>
      </x:c>
      <x:c r="D211" s="17" t="str">
        <x:v>2026-04-17 10:30:00</x:v>
      </x:c>
      <x:c r="E211" s="17" t="str">
        <x:v>Embraer</x:v>
      </x:c>
      <x:c r="F211" s="17" t="str">
        <x:v>HENRIQUE COMUNE DALDOSSO - (12) 99178-2028</x:v>
      </x:c>
      <x:c r="G211" s="17" t="str">
        <x:v>Concluído</x:v>
      </x:c>
      <x:c r="H211" s="17" t="str">
        <x:v>Pago</x:v>
      </x:c>
      <x:c r="I211" s="21" t="n">
        <x:v>397.1</x:v>
      </x:c>
    </x:row>
    <x:row r="212" ht="24" hidden="0" customHeight="1">
      <x:c r="A212" s="17" t="n">
        <x:v>212</x:v>
      </x:c>
      <x:c r="B212" s="17" t="str">
        <x:v>OP-1055</x:v>
      </x:c>
      <x:c r="C212" s="17" t="str">
        <x:v>OS-4323</x:v>
      </x:c>
      <x:c r="D212" s="17" t="str">
        <x:v>2026-04-17 14:45:00</x:v>
      </x:c>
      <x:c r="E212" s="17" t="str">
        <x:v>Johnson&amp;Johnson</x:v>
      </x:c>
      <x:c r="F212" s="17" t="str">
        <x:v>Regina Lucia Zamith - 12 98127 8254;
Roneide Oliveira - +55 12 98190-2010</x:v>
      </x:c>
      <x:c r="G212" s="17" t="str">
        <x:v>Concluído</x:v>
      </x:c>
      <x:c r="H212" s="17" t="str">
        <x:v>Pago</x:v>
      </x:c>
      <x:c r="I212" s="21" t="n">
        <x:v>719.37</x:v>
      </x:c>
    </x:row>
    <x:row r="213" ht="15" hidden="0" customHeight="1">
      <x:c r="A213" s="17" t="n">
        <x:v>213</x:v>
      </x:c>
      <x:c r="B213" s="17" t="str">
        <x:v>OP-1081</x:v>
      </x:c>
      <x:c r="C213" s="17" t="str">
        <x:v>OS-4377</x:v>
      </x:c>
      <x:c r="D213" s="17" t="str">
        <x:v>2026-04-17 16:00:00</x:v>
      </x:c>
      <x:c r="E213" s="17" t="str">
        <x:v>Particular</x:v>
      </x:c>
      <x:c r="F213" s="17" t="str">
        <x:v>Alvadi Serpa Junior - +1 (321) 844-1032</x:v>
      </x:c>
      <x:c r="G213" s="17" t="str">
        <x:v>Concluído</x:v>
      </x:c>
      <x:c r="H213" s="17" t="str">
        <x:v>Pago</x:v>
      </x:c>
      <x:c r="I213" s="21" t="n">
        <x:v>713.56</x:v>
      </x:c>
    </x:row>
    <x:row r="214" ht="15" hidden="0" customHeight="1">
      <x:c r="A214" s="17" t="n">
        <x:v>214</x:v>
      </x:c>
      <x:c r="B214" s="17" t="str">
        <x:v>OP-1084</x:v>
      </x:c>
      <x:c r="C214" s="17" t="str">
        <x:v>OS-4044</x:v>
      </x:c>
      <x:c r="D214" s="17" t="str">
        <x:v>2026-04-17 17:00:00</x:v>
      </x:c>
      <x:c r="E214" s="17" t="str">
        <x:v>Johnson&amp;Johnson</x:v>
      </x:c>
      <x:c r="F214" s="17" t="str">
        <x:v>Carolina Huang - +55 15 99858-2119</x:v>
      </x:c>
      <x:c r="G214" s="17" t="str">
        <x:v>Concluído</x:v>
      </x:c>
      <x:c r="H214" s="17" t="str">
        <x:v>Pago</x:v>
      </x:c>
      <x:c r="I214" s="21" t="n">
        <x:v>442.98</x:v>
      </x:c>
    </x:row>
    <x:row r="215" ht="15" hidden="0" customHeight="1">
      <x:c r="A215" s="17" t="n">
        <x:v>215</x:v>
      </x:c>
      <x:c r="B215" s="17" t="str">
        <x:v>OP-1219</x:v>
      </x:c>
      <x:c r="C215" s="17" t="str">
        <x:v>OS-4397</x:v>
      </x:c>
      <x:c r="D215" s="17" t="str">
        <x:v>2026-04-17 18:00:00</x:v>
      </x:c>
      <x:c r="E215" s="17" t="str">
        <x:v>Embraer</x:v>
      </x:c>
      <x:c r="F215" s="17" t="str">
        <x:v>Transporte F300 - indeterminado</x:v>
      </x:c>
      <x:c r="G215" s="17" t="str">
        <x:v>Concluído</x:v>
      </x:c>
      <x:c r="H215" s="17" t="str">
        <x:v>Pago</x:v>
      </x:c>
      <x:c r="I215" s="21" t="n">
        <x:v>179.64</x:v>
      </x:c>
    </x:row>
    <x:row r="216" ht="15" hidden="0" customHeight="1">
      <x:c r="A216" s="17" t="n">
        <x:v>216</x:v>
      </x:c>
      <x:c r="B216" s="17" t="str">
        <x:v>OP-1219</x:v>
      </x:c>
      <x:c r="C216" s="17" t="str">
        <x:v>OS-4375</x:v>
      </x:c>
      <x:c r="D216" s="17" t="str">
        <x:v>2026-04-17 18:30:00</x:v>
      </x:c>
      <x:c r="E216" s="17" t="str">
        <x:v>Embraer</x:v>
      </x:c>
      <x:c r="F216" s="17" t="str">
        <x:v>GABRIEL MACHADO RAMALHO - (11) 98277-3614</x:v>
      </x:c>
      <x:c r="G216" s="17" t="str">
        <x:v>Concluído</x:v>
      </x:c>
      <x:c r="H216" s="17" t="str">
        <x:v>Pago</x:v>
      </x:c>
      <x:c r="I216" s="21" t="n">
        <x:v>666.34</x:v>
      </x:c>
    </x:row>
    <x:row r="217" ht="15" hidden="0" customHeight="1">
      <x:c r="A217" s="17" t="n">
        <x:v>217</x:v>
      </x:c>
      <x:c r="B217" s="17" t="str">
        <x:v>OP-1219</x:v>
      </x:c>
      <x:c r="C217" s="17" t="str">
        <x:v>OS-4403</x:v>
      </x:c>
      <x:c r="D217" s="17" t="str">
        <x:v>2026-04-17 20:40:00</x:v>
      </x:c>
      <x:c r="E217" s="17" t="str">
        <x:v>Embraer</x:v>
      </x:c>
      <x:c r="F217" s="17" t="str">
        <x:v>Transporte F300 - indeterminado</x:v>
      </x:c>
      <x:c r="G217" s="17" t="str">
        <x:v>Concluído</x:v>
      </x:c>
      <x:c r="H217" s="17" t="str">
        <x:v>Pago</x:v>
      </x:c>
      <x:c r="I217" s="21" t="n">
        <x:v>179.64</x:v>
      </x:c>
    </x:row>
    <x:row r="218" ht="15" hidden="0" customHeight="1">
      <x:c r="A218" s="17" t="n">
        <x:v>218</x:v>
      </x:c>
      <x:c r="B218" s="17" t="str">
        <x:v>OP-1057</x:v>
      </x:c>
      <x:c r="C218" s="17" t="str">
        <x:v>OS-4251</x:v>
      </x:c>
      <x:c r="D218" s="17" t="str">
        <x:v>2026-04-17 23:55:00</x:v>
      </x:c>
      <x:c r="E218" s="17" t="str">
        <x:v>Johnson&amp;Johnson</x:v>
      </x:c>
      <x:c r="F218" s="17" t="str">
        <x:v>Erica Sylvestre - +55 12 99158 1625</x:v>
      </x:c>
      <x:c r="G218" s="17" t="str">
        <x:v>Concluído</x:v>
      </x:c>
      <x:c r="H218" s="17" t="str">
        <x:v>Pago</x:v>
      </x:c>
      <x:c r="I218" s="21" t="n">
        <x:v>509.98</x:v>
      </x:c>
    </x:row>
    <x:row r="219" ht="15" hidden="0" customHeight="1">
      <x:c r="A219" s="17" t="n">
        <x:v>219</x:v>
      </x:c>
      <x:c r="B219" s="17" t="str">
        <x:v>OP-1119</x:v>
      </x:c>
      <x:c r="C219" s="17" t="str">
        <x:v>OS-4407</x:v>
      </x:c>
      <x:c r="D219" s="17" t="str">
        <x:v>2026-04-18 04:00:00</x:v>
      </x:c>
      <x:c r="E219" s="17" t="str">
        <x:v>Kenvue</x:v>
      </x:c>
      <x:c r="F219" s="17" t="str">
        <x:v>Jeison Souza - indeterminado</x:v>
      </x:c>
      <x:c r="G219" s="17" t="str">
        <x:v>Concluído</x:v>
      </x:c>
      <x:c r="H219" s="17" t="str">
        <x:v>Pago</x:v>
      </x:c>
      <x:c r="I219" s="21" t="n">
        <x:v>2590</x:v>
      </x:c>
    </x:row>
    <x:row r="220" ht="15" hidden="0" customHeight="1">
      <x:c r="A220" s="17" t="n">
        <x:v>220</x:v>
      </x:c>
      <x:c r="B220" s="17" t="str">
        <x:v>OP-1219</x:v>
      </x:c>
      <x:c r="C220" s="17" t="str">
        <x:v>OS-4390</x:v>
      </x:c>
      <x:c r="D220" s="17" t="str">
        <x:v>2026-04-18 04:55:00</x:v>
      </x:c>
      <x:c r="E220" s="17" t="str">
        <x:v>Embraer</x:v>
      </x:c>
      <x:c r="F220" s="17" t="str">
        <x:v>MARCO AURELIO MACHADO MOREIRA - (16) 99725-1833</x:v>
      </x:c>
      <x:c r="G220" s="17" t="str">
        <x:v>Concluído</x:v>
      </x:c>
      <x:c r="H220" s="17" t="str">
        <x:v>Pago</x:v>
      </x:c>
      <x:c r="I220" s="21" t="n">
        <x:v>569.89</x:v>
      </x:c>
    </x:row>
    <x:row r="221" ht="15" hidden="0" customHeight="1">
      <x:c r="A221" s="17" t="n">
        <x:v>221</x:v>
      </x:c>
      <x:c r="B221" s="17" t="str">
        <x:v>OP-1219</x:v>
      </x:c>
      <x:c r="C221" s="17" t="str">
        <x:v>OS-4392</x:v>
      </x:c>
      <x:c r="D221" s="17" t="str">
        <x:v>2026-04-18 05:35:00</x:v>
      </x:c>
      <x:c r="E221" s="17" t="str">
        <x:v>Embraer</x:v>
      </x:c>
      <x:c r="F221" s="17" t="str">
        <x:v>LUIS PAULO RODRIGUES NEVES - (12) 99121-6154</x:v>
      </x:c>
      <x:c r="G221" s="17" t="str">
        <x:v>Concluído</x:v>
      </x:c>
      <x:c r="H221" s="17" t="str">
        <x:v>Pago</x:v>
      </x:c>
      <x:c r="I221" s="21" t="n">
        <x:v>464.1</x:v>
      </x:c>
    </x:row>
    <x:row r="222" ht="15" hidden="0" customHeight="1">
      <x:c r="A222" s="17" t="n">
        <x:v>222</x:v>
      </x:c>
      <x:c r="B222" s="17" t="str">
        <x:v>OP-1060</x:v>
      </x:c>
      <x:c r="C222" s="17" t="str">
        <x:v>OS-4011</x:v>
      </x:c>
      <x:c r="D222" s="17" t="str">
        <x:v>2026-04-18 05:45:00</x:v>
      </x:c>
      <x:c r="E222" s="17" t="str">
        <x:v>Johnson&amp;Johnson</x:v>
      </x:c>
      <x:c r="F222" s="17" t="str">
        <x:v>Thais Eschiapati  - +55 12 99147-3702</x:v>
      </x:c>
      <x:c r="G222" s="17" t="str">
        <x:v>Concluído</x:v>
      </x:c>
      <x:c r="H222" s="17" t="str">
        <x:v>Pago</x:v>
      </x:c>
      <x:c r="I222" s="21" t="n">
        <x:v>509.98</x:v>
      </x:c>
    </x:row>
    <x:row r="223" ht="15" hidden="0" customHeight="1">
      <x:c r="A223" s="17" t="n">
        <x:v>223</x:v>
      </x:c>
      <x:c r="B223" s="17" t="str">
        <x:v>OP-1219</x:v>
      </x:c>
      <x:c r="C223" s="17" t="str">
        <x:v>OS-4394</x:v>
      </x:c>
      <x:c r="D223" s="17" t="str">
        <x:v>2026-04-18 06:00:00</x:v>
      </x:c>
      <x:c r="E223" s="17" t="str">
        <x:v>Embraer</x:v>
      </x:c>
      <x:c r="F223" s="17" t="str">
        <x:v>ALINE VOGT PLANCHEZ DE CARVALHO GUILHERME - (12) 98102-5208</x:v>
      </x:c>
      <x:c r="G223" s="17" t="str">
        <x:v>Concluído</x:v>
      </x:c>
      <x:c r="H223" s="17" t="str">
        <x:v>Pago</x:v>
      </x:c>
      <x:c r="I223" s="21" t="n">
        <x:v>464.1</x:v>
      </x:c>
    </x:row>
    <x:row r="224" ht="15" hidden="0" customHeight="1">
      <x:c r="A224" s="17" t="n">
        <x:v>224</x:v>
      </x:c>
      <x:c r="B224" s="17" t="str">
        <x:v>OP-1058</x:v>
      </x:c>
      <x:c r="C224" s="17" t="str">
        <x:v>OS-4295</x:v>
      </x:c>
      <x:c r="D224" s="17" t="str">
        <x:v>2026-04-18 06:55:00</x:v>
      </x:c>
      <x:c r="E224" s="17" t="str">
        <x:v>Johnson&amp;Johnson</x:v>
      </x:c>
      <x:c r="F224" s="17" t="str">
        <x:v>Gabriela Leite Nogueira - +55 12 98137-1344</x:v>
      </x:c>
      <x:c r="G224" s="17" t="str">
        <x:v>Concluído</x:v>
      </x:c>
      <x:c r="H224" s="17" t="str">
        <x:v>Pago</x:v>
      </x:c>
      <x:c r="I224" s="21" t="n">
        <x:v>649.56</x:v>
      </x:c>
    </x:row>
    <x:row r="225" ht="15" hidden="0" customHeight="1">
      <x:c r="A225" s="17" t="n">
        <x:v>225</x:v>
      </x:c>
      <x:c r="B225" s="17" t="str">
        <x:v>OP-1069</x:v>
      </x:c>
      <x:c r="C225" s="17" t="str">
        <x:v>OS-4187</x:v>
      </x:c>
      <x:c r="D225" s="17" t="str">
        <x:v>2026-04-18 09:00:00</x:v>
      </x:c>
      <x:c r="E225" s="17" t="str">
        <x:v>Johnson&amp;Johnson</x:v>
      </x:c>
      <x:c r="F225" s="17" t="str">
        <x:v>Luciano de Paula - +55 12 99168-4442</x:v>
      </x:c>
      <x:c r="G225" s="17" t="str">
        <x:v>Concluído</x:v>
      </x:c>
      <x:c r="H225" s="17" t="str">
        <x:v>Pago</x:v>
      </x:c>
      <x:c r="I225" s="21" t="n">
        <x:v>670.49</x:v>
      </x:c>
    </x:row>
    <x:row r="226" ht="15" hidden="0" customHeight="1">
      <x:c r="A226" s="17" t="n">
        <x:v>226</x:v>
      </x:c>
      <x:c r="B226" s="17" t="str">
        <x:v>OP-1219</x:v>
      </x:c>
      <x:c r="C226" s="17" t="str">
        <x:v>OS-4396</x:v>
      </x:c>
      <x:c r="D226" s="17" t="str">
        <x:v>2026-04-18 09:50:00</x:v>
      </x:c>
      <x:c r="E226" s="17" t="str">
        <x:v>Embraer</x:v>
      </x:c>
      <x:c r="F226" s="17" t="str">
        <x:v>ANA CAROLINE SOARES SCHMIDT - (12) 99606-5049</x:v>
      </x:c>
      <x:c r="G226" s="17" t="str">
        <x:v>Concluído</x:v>
      </x:c>
      <x:c r="H226" s="17" t="str">
        <x:v>Pago</x:v>
      </x:c>
      <x:c r="I226" s="21" t="n">
        <x:v>847.93</x:v>
      </x:c>
    </x:row>
    <x:row r="227" ht="15" hidden="0" customHeight="1">
      <x:c r="A227" s="17" t="n">
        <x:v>227</x:v>
      </x:c>
      <x:c r="B227" s="17" t="str">
        <x:v>OP-1180</x:v>
      </x:c>
      <x:c r="C227" s="17" t="str">
        <x:v>OS-4402</x:v>
      </x:c>
      <x:c r="D227" s="17" t="str">
        <x:v>2026-04-18 10:15:00</x:v>
      </x:c>
      <x:c r="E227" s="17" t="str">
        <x:v>Johnson&amp;Johnson</x:v>
      </x:c>
      <x:c r="F227" s="17" t="str">
        <x:v>Flavio Martins Bueno - +551299173-8155</x:v>
      </x:c>
      <x:c r="G227" s="17" t="str">
        <x:v>Concluído</x:v>
      </x:c>
      <x:c r="H227" s="17" t="str">
        <x:v>Pago</x:v>
      </x:c>
      <x:c r="I227" s="21" t="n">
        <x:v>962.65</x:v>
      </x:c>
    </x:row>
    <x:row r="228" ht="24" hidden="0" customHeight="1">
      <x:c r="A228" s="17" t="n">
        <x:v>228</x:v>
      </x:c>
      <x:c r="B228" s="17" t="str">
        <x:v>OP-1219</x:v>
      </x:c>
      <x:c r="C228" s="17" t="str">
        <x:v>OS-4398</x:v>
      </x:c>
      <x:c r="D228" s="17" t="str">
        <x:v>2026-04-18 10:30:00</x:v>
      </x:c>
      <x:c r="E228" s="17" t="str">
        <x:v>Embraer</x:v>
      </x:c>
      <x:c r="F228" s="17" t="str">
        <x:v>ANTONIO JOSE FRANCO CESAR JUNIOR - (12)8118-1331;
CASSIO TEIXEIRA CESAR DE OLIVEIRA - indeterminado</x:v>
      </x:c>
      <x:c r="G228" s="17" t="str">
        <x:v>Concluído</x:v>
      </x:c>
      <x:c r="H228" s="17" t="str">
        <x:v>Pago</x:v>
      </x:c>
      <x:c r="I228" s="21" t="n">
        <x:v>502.89</x:v>
      </x:c>
    </x:row>
    <x:row r="229" ht="15" hidden="0" customHeight="1">
      <x:c r="A229" s="17" t="n">
        <x:v>229</x:v>
      </x:c>
      <x:c r="B229" s="17" t="str">
        <x:v>OP-1219</x:v>
      </x:c>
      <x:c r="C229" s="17" t="str">
        <x:v>OS-4399</x:v>
      </x:c>
      <x:c r="D229" s="17" t="str">
        <x:v>2026-04-18 13:00:00</x:v>
      </x:c>
      <x:c r="E229" s="17" t="str">
        <x:v>Embraer</x:v>
      </x:c>
      <x:c r="F229" s="17" t="str">
        <x:v>ALEXANDRE PINHEIRO GOULART - (12) 98116-5627</x:v>
      </x:c>
      <x:c r="G229" s="17" t="str">
        <x:v>Concluído</x:v>
      </x:c>
      <x:c r="H229" s="17" t="str">
        <x:v>Pago</x:v>
      </x:c>
      <x:c r="I229" s="21" t="n">
        <x:v>397.1</x:v>
      </x:c>
    </x:row>
    <x:row r="230" ht="15" hidden="0" customHeight="1">
      <x:c r="A230" s="17" t="n">
        <x:v>230</x:v>
      </x:c>
      <x:c r="B230" s="17" t="str">
        <x:v>OP-1061</x:v>
      </x:c>
      <x:c r="C230" s="17" t="str">
        <x:v>OS-4299</x:v>
      </x:c>
      <x:c r="D230" s="17" t="str">
        <x:v>2026-04-18 16:30:00</x:v>
      </x:c>
      <x:c r="E230" s="17" t="str">
        <x:v>Johnson&amp;Johnson</x:v>
      </x:c>
      <x:c r="F230" s="17" t="str">
        <x:v>Uriel Pérez Hernández - +52 5543563267</x:v>
      </x:c>
      <x:c r="G230" s="17" t="str">
        <x:v>Concluído</x:v>
      </x:c>
      <x:c r="H230" s="17" t="str">
        <x:v>Pago</x:v>
      </x:c>
      <x:c r="I230" s="21" t="n">
        <x:v>713.56</x:v>
      </x:c>
    </x:row>
    <x:row r="231" ht="15" hidden="0" customHeight="1">
      <x:c r="A231" s="17" t="n">
        <x:v>231</x:v>
      </x:c>
      <x:c r="B231" s="17" t="str">
        <x:v>OP-1077</x:v>
      </x:c>
      <x:c r="C231" s="17" t="str">
        <x:v>9340</x:v>
      </x:c>
      <x:c r="D231" s="17" t="str">
        <x:v>2026-04-18 17:00:00</x:v>
      </x:c>
      <x:c r="E231" s="17" t="str">
        <x:v>Johnson&amp;Johnson</x:v>
      </x:c>
      <x:c r="F231" s="17" t="str">
        <x:v>Paula Medici  - +55 12 98195-0491</x:v>
      </x:c>
      <x:c r="G231" s="17" t="str">
        <x:v>Concluído</x:v>
      </x:c>
      <x:c r="H231" s="17" t="str">
        <x:v>Pago</x:v>
      </x:c>
      <x:c r="I231" s="21" t="n">
        <x:v>491.86</x:v>
      </x:c>
    </x:row>
    <x:row r="232" ht="24" hidden="0" customHeight="1">
      <x:c r="A232" s="17" t="n">
        <x:v>232</x:v>
      </x:c>
      <x:c r="B232" s="17" t="str">
        <x:v>OP-1219</x:v>
      </x:c>
      <x:c r="C232" s="17" t="str">
        <x:v>OS-4400</x:v>
      </x:c>
      <x:c r="D232" s="17" t="str">
        <x:v>2026-04-18 18:10:00</x:v>
      </x:c>
      <x:c r="E232" s="17" t="str">
        <x:v>Embraer</x:v>
      </x:c>
      <x:c r="F232" s="17" t="str">
        <x:v>LORENA ZAMPIER TRIFFONI - (12)99192-2338;
RENATO DA NOVA FAVARIN - (12) 98131-5271</x:v>
      </x:c>
      <x:c r="G232" s="17" t="str">
        <x:v>Concluído</x:v>
      </x:c>
      <x:c r="H232" s="17" t="str">
        <x:v>Pago</x:v>
      </x:c>
      <x:c r="I232" s="21" t="n">
        <x:v>502.89</x:v>
      </x:c>
    </x:row>
    <x:row r="233" ht="15" hidden="0" customHeight="1">
      <x:c r="A233" s="17" t="n">
        <x:v>233</x:v>
      </x:c>
      <x:c r="B233" s="17" t="str">
        <x:v>OP-1219</x:v>
      </x:c>
      <x:c r="C233" s="17" t="str">
        <x:v>OS-4401</x:v>
      </x:c>
      <x:c r="D233" s="17" t="str">
        <x:v>2026-04-18 20:15:00</x:v>
      </x:c>
      <x:c r="E233" s="17" t="str">
        <x:v>Embraer</x:v>
      </x:c>
      <x:c r="F233" s="17" t="str">
        <x:v>ELY DE TOLEDO MELCHIADES - indeterminado</x:v>
      </x:c>
      <x:c r="G233" s="17" t="str">
        <x:v>Concluído</x:v>
      </x:c>
      <x:c r="H233" s="17" t="str">
        <x:v>Pago</x:v>
      </x:c>
      <x:c r="I233" s="21" t="n">
        <x:v>719.08</x:v>
      </x:c>
    </x:row>
    <x:row r="234" ht="15" hidden="0" customHeight="1">
      <x:c r="A234" s="17" t="n">
        <x:v>234</x:v>
      </x:c>
      <x:c r="B234" s="17" t="str">
        <x:v>OP-1083</x:v>
      </x:c>
      <x:c r="C234" s="17" t="str">
        <x:v>OS-4363</x:v>
      </x:c>
      <x:c r="D234" s="17" t="str">
        <x:v>2026-04-18 23:55:00</x:v>
      </x:c>
      <x:c r="E234" s="17" t="str">
        <x:v>Johnson&amp;Johnson</x:v>
      </x:c>
      <x:c r="F234" s="17" t="str">
        <x:v>Estefania Moreno - indeterminado</x:v>
      </x:c>
      <x:c r="G234" s="17" t="str">
        <x:v>Concluído</x:v>
      </x:c>
      <x:c r="H234" s="17" t="str">
        <x:v>Pago</x:v>
      </x:c>
      <x:c r="I234" s="21" t="n">
        <x:v>632.63</x:v>
      </x:c>
    </x:row>
    <x:row r="235" ht="15" hidden="0" customHeight="1">
      <x:c r="A235" s="17" t="n">
        <x:v>235</x:v>
      </x:c>
      <x:c r="B235" s="17" t="str">
        <x:v>OP-1078</x:v>
      </x:c>
      <x:c r="C235" s="17" t="str">
        <x:v>OS-4350</x:v>
      </x:c>
      <x:c r="D235" s="17" t="str">
        <x:v>2026-04-19 01:00:00</x:v>
      </x:c>
      <x:c r="E235" s="17" t="str">
        <x:v>Johnson&amp;Johnson</x:v>
      </x:c>
      <x:c r="F235" s="17" t="str">
        <x:v>Adriana Cristina Costa - (12) 99793-1099</x:v>
      </x:c>
      <x:c r="G235" s="17" t="str">
        <x:v>Concluído</x:v>
      </x:c>
      <x:c r="H235" s="17" t="str">
        <x:v>Pago</x:v>
      </x:c>
      <x:c r="I235" s="21" t="n">
        <x:v>442.98</x:v>
      </x:c>
    </x:row>
    <x:row r="236" ht="15" hidden="0" customHeight="1">
      <x:c r="A236" s="17" t="n">
        <x:v>236</x:v>
      </x:c>
      <x:c r="B236" s="17" t="str">
        <x:v>OP-1150</x:v>
      </x:c>
      <x:c r="C236" s="17" t="str">
        <x:v>OS-4409</x:v>
      </x:c>
      <x:c r="D236" s="17" t="str">
        <x:v>2026-04-19 03:40:00</x:v>
      </x:c>
      <x:c r="E236" s="17" t="str">
        <x:v>Johnson&amp;Johnson</x:v>
      </x:c>
      <x:c r="F236" s="17" t="str">
        <x:v>Everton Ribeiro Corrêa - (11) 986774421</x:v>
      </x:c>
      <x:c r="G236" s="17" t="str">
        <x:v>Concluído</x:v>
      </x:c>
      <x:c r="H236" s="17" t="str">
        <x:v>Pagamento Pendente</x:v>
      </x:c>
      <x:c r="I236" s="21" t="n">
        <x:v>442.98</x:v>
      </x:c>
    </x:row>
    <x:row r="237" ht="15" hidden="0" customHeight="1">
      <x:c r="A237" s="17" t="n">
        <x:v>237</x:v>
      </x:c>
      <x:c r="B237" s="17" t="str">
        <x:v>OP-1073</x:v>
      </x:c>
      <x:c r="C237" s="17" t="str">
        <x:v>OS-4004</x:v>
      </x:c>
      <x:c r="D237" s="17" t="str">
        <x:v>2026-04-19 04:00:00</x:v>
      </x:c>
      <x:c r="E237" s="17" t="str">
        <x:v>Kenvue</x:v>
      </x:c>
      <x:c r="F237" s="17" t="str">
        <x:v>Viviane Braga Alves Prado - 12 99739-1484 / 99139-9710</x:v>
      </x:c>
      <x:c r="G237" s="17" t="str">
        <x:v>Concluído</x:v>
      </x:c>
      <x:c r="H237" s="17" t="str">
        <x:v>Pago</x:v>
      </x:c>
      <x:c r="I237" s="21" t="n">
        <x:v>603.49</x:v>
      </x:c>
    </x:row>
    <x:row r="238" ht="24" hidden="0" customHeight="1">
      <x:c r="A238" s="17" t="n">
        <x:v>238</x:v>
      </x:c>
      <x:c r="B238" s="17" t="str">
        <x:v>OP-1072</x:v>
      </x:c>
      <x:c r="C238" s="17" t="str">
        <x:v>OS-4189</x:v>
      </x:c>
      <x:c r="D238" s="17" t="str">
        <x:v>2026-04-19 06:00:00</x:v>
      </x:c>
      <x:c r="E238" s="17" t="str">
        <x:v>Johnson&amp;Johnson</x:v>
      </x:c>
      <x:c r="F238" s="17" t="str">
        <x:v>Rafael Manso - indeterminado;
Rafael Barbosa - +55 12 99186-7707</x:v>
      </x:c>
      <x:c r="G238" s="17" t="str">
        <x:v>Concluído</x:v>
      </x:c>
      <x:c r="H238" s="17" t="str">
        <x:v>Pago</x:v>
      </x:c>
      <x:c r="I238" s="21" t="n">
        <x:v>1239.94</x:v>
      </x:c>
    </x:row>
    <x:row r="239" ht="15" hidden="0" customHeight="1">
      <x:c r="A239" s="17" t="n">
        <x:v>239</x:v>
      </x:c>
      <x:c r="B239" s="17" t="str">
        <x:v>OP-1066</x:v>
      </x:c>
      <x:c r="C239" s="17" t="str">
        <x:v>OS-4118</x:v>
      </x:c>
      <x:c r="D239" s="17" t="str">
        <x:v>2026-04-19 06:00:00</x:v>
      </x:c>
      <x:c r="E239" s="17" t="str">
        <x:v>Johnson&amp;Johnson</x:v>
      </x:c>
      <x:c r="F239" s="17" t="str">
        <x:v>Viviane Lemes Castro - +55 12 98809-5016 / 12 99165 3728</x:v>
      </x:c>
      <x:c r="G239" s="17" t="str">
        <x:v>Concluído</x:v>
      </x:c>
      <x:c r="H239" s="17" t="str">
        <x:v>Pago</x:v>
      </x:c>
      <x:c r="I239" s="21" t="n">
        <x:v>509.98</x:v>
      </x:c>
    </x:row>
    <x:row r="240" ht="24" hidden="0" customHeight="1">
      <x:c r="A240" s="17" t="n">
        <x:v>240</x:v>
      </x:c>
      <x:c r="B240" s="17" t="str">
        <x:v>OP-1083</x:v>
      </x:c>
      <x:c r="C240" s="17" t="str">
        <x:v>OS-4364</x:v>
      </x:c>
      <x:c r="D240" s="17" t="str">
        <x:v>2026-04-19 07:00:00</x:v>
      </x:c>
      <x:c r="E240" s="17" t="str">
        <x:v>Johnson&amp;Johnson</x:v>
      </x:c>
      <x:c r="F240" s="17" t="str">
        <x:v>Joe Bonnano - indeterminado;
Tara O'Brien - indeterminado</x:v>
      </x:c>
      <x:c r="G240" s="17" t="str">
        <x:v>Concluído</x:v>
      </x:c>
      <x:c r="H240" s="17" t="str">
        <x:v>Pago</x:v>
      </x:c>
      <x:c r="I240" s="21" t="n">
        <x:v>632.63</x:v>
      </x:c>
    </x:row>
    <x:row r="241" ht="15" hidden="0" customHeight="1">
      <x:c r="A241" s="17" t="n">
        <x:v>241</x:v>
      </x:c>
      <x:c r="B241" s="17" t="str">
        <x:v>OP-1122</x:v>
      </x:c>
      <x:c r="C241" s="17" t="str">
        <x:v>OS-4385</x:v>
      </x:c>
      <x:c r="D241" s="17" t="str">
        <x:v>2026-04-19 07:30:00</x:v>
      </x:c>
      <x:c r="E241" s="17" t="str">
        <x:v>Ricoh LATAM</x:v>
      </x:c>
      <x:c r="F241" s="17" t="str">
        <x:v>Jessica Muciño Chavez - indeterminado</x:v>
      </x:c>
      <x:c r="G241" s="17" t="str">
        <x:v>Concluído</x:v>
      </x:c>
      <x:c r="H241" s="17" t="str">
        <x:v>Pago</x:v>
      </x:c>
      <x:c r="I241" s="21" t="n">
        <x:v>437</x:v>
      </x:c>
    </x:row>
    <x:row r="242" ht="15" hidden="0" customHeight="1">
      <x:c r="A242" s="17" t="n">
        <x:v>242</x:v>
      </x:c>
      <x:c r="B242" s="17" t="str">
        <x:v>OP-1219</x:v>
      </x:c>
      <x:c r="C242" s="17" t="str">
        <x:v>OS-4404</x:v>
      </x:c>
      <x:c r="D242" s="17" t="str">
        <x:v>2026-04-19 07:45:00</x:v>
      </x:c>
      <x:c r="E242" s="17" t="str">
        <x:v>Embraer</x:v>
      </x:c>
      <x:c r="F242" s="17" t="str">
        <x:v>GEOVANE JOSE DA SILVA - (12) 99708-7172</x:v>
      </x:c>
      <x:c r="G242" s="17" t="str">
        <x:v>Concluído</x:v>
      </x:c>
      <x:c r="H242" s="17" t="str">
        <x:v>Pago</x:v>
      </x:c>
      <x:c r="I242" s="21" t="n">
        <x:v>397.1</x:v>
      </x:c>
    </x:row>
    <x:row r="243" ht="15" hidden="0" customHeight="1">
      <x:c r="A243" s="17" t="n">
        <x:v>243</x:v>
      </x:c>
      <x:c r="B243" s="17" t="str">
        <x:v>OP-1093</x:v>
      </x:c>
      <x:c r="C243" s="17" t="str">
        <x:v>OS-4347</x:v>
      </x:c>
      <x:c r="D243" s="17" t="str">
        <x:v>2026-04-19 15:30:00</x:v>
      </x:c>
      <x:c r="E243" s="17" t="str">
        <x:v>Boeing</x:v>
      </x:c>
      <x:c r="F243" s="17" t="str">
        <x:v>Vinicius Mancini  - (12) 98202-4348</x:v>
      </x:c>
      <x:c r="G243" s="17" t="str">
        <x:v>Concluído</x:v>
      </x:c>
      <x:c r="H243" s="17" t="str">
        <x:v>Pago</x:v>
      </x:c>
      <x:c r="I243" s="21" t="n">
        <x:v>396.05</x:v>
      </x:c>
    </x:row>
    <x:row r="244" ht="15" hidden="0" customHeight="1">
      <x:c r="A244" s="17" t="n">
        <x:v>244</x:v>
      </x:c>
      <x:c r="B244" s="17" t="str">
        <x:v>OP-1067</x:v>
      </x:c>
      <x:c r="C244" s="17" t="str">
        <x:v>OS-4284</x:v>
      </x:c>
      <x:c r="D244" s="17" t="str">
        <x:v>2026-04-19 15:30:00</x:v>
      </x:c>
      <x:c r="E244" s="17" t="str">
        <x:v>Kenvue</x:v>
      </x:c>
      <x:c r="F244" s="17" t="str">
        <x:v>Simone Franco - +55 11 94521 4747</x:v>
      </x:c>
      <x:c r="G244" s="17" t="str">
        <x:v>Concluído</x:v>
      </x:c>
      <x:c r="H244" s="17" t="str">
        <x:v>Pago</x:v>
      </x:c>
      <x:c r="I244" s="21" t="n">
        <x:v>1018.25</x:v>
      </x:c>
    </x:row>
    <x:row r="245" ht="15" hidden="0" customHeight="1">
      <x:c r="A245" s="17" t="n">
        <x:v>245</x:v>
      </x:c>
      <x:c r="B245" s="17" t="str">
        <x:v>OP-1219</x:v>
      </x:c>
      <x:c r="C245" s="17" t="str">
        <x:v>OS-4405</x:v>
      </x:c>
      <x:c r="D245" s="17" t="str">
        <x:v>2026-04-20 04:30:00</x:v>
      </x:c>
      <x:c r="E245" s="17" t="str">
        <x:v>Embraer</x:v>
      </x:c>
      <x:c r="F245" s="17" t="str">
        <x:v>ALEXSANDRO SILVA CAMPOS - (19) 99616-3541</x:v>
      </x:c>
      <x:c r="G245" s="17" t="str">
        <x:v>Concluído</x:v>
      </x:c>
      <x:c r="H245" s="17" t="str">
        <x:v>Pago</x:v>
      </x:c>
      <x:c r="I245" s="21" t="n">
        <x:v>992.08</x:v>
      </x:c>
    </x:row>
    <x:row r="246" ht="24" hidden="0" customHeight="1">
      <x:c r="A246" s="17" t="n">
        <x:v>246</x:v>
      </x:c>
      <x:c r="B246" s="17" t="str">
        <x:v>OP-1083</x:v>
      </x:c>
      <x:c r="C246" s="17" t="str">
        <x:v>OS-4365</x:v>
      </x:c>
      <x:c r="D246" s="17" t="str">
        <x:v>2026-04-20 08:30:00</x:v>
      </x:c>
      <x:c r="E246" s="17" t="str">
        <x:v>Johnson&amp;Johnson</x:v>
      </x:c>
      <x:c r="F246" s="17" t="str">
        <x:v>Joe Bonnano - indeterminado;
Tara O'Brien - indeterminado</x:v>
      </x:c>
      <x:c r="G246" s="17" t="str">
        <x:v>Concluído</x:v>
      </x:c>
      <x:c r="H246" s="17" t="str">
        <x:v>Pago</x:v>
      </x:c>
      <x:c r="I246" s="21" t="n">
        <x:v>173.51</x:v>
      </x:c>
    </x:row>
    <x:row r="247" ht="15" hidden="0" customHeight="1">
      <x:c r="A247" s="17" t="n">
        <x:v>247</x:v>
      </x:c>
      <x:c r="B247" s="17" t="str">
        <x:v>OP-1128</x:v>
      </x:c>
      <x:c r="C247" s="17" t="str">
        <x:v>OS-4415</x:v>
      </x:c>
      <x:c r="D247" s="17" t="str">
        <x:v>2026-04-20 15:00:00</x:v>
      </x:c>
      <x:c r="E247" s="17" t="str">
        <x:v>Boeing</x:v>
      </x:c>
      <x:c r="F247" s="17" t="str">
        <x:v>Ronaldo Rogeri - +55 12 99700-4607</x:v>
      </x:c>
      <x:c r="G247" s="17" t="str">
        <x:v>Concluído</x:v>
      </x:c>
      <x:c r="H247" s="17" t="str">
        <x:v>Pago</x:v>
      </x:c>
      <x:c r="I247" s="21" t="n">
        <x:v>396.05</x:v>
      </x:c>
    </x:row>
    <x:row r="248" ht="15" hidden="0" customHeight="1">
      <x:c r="A248" s="17" t="n">
        <x:v>248</x:v>
      </x:c>
      <x:c r="B248" s="17" t="str">
        <x:v>OP-1083</x:v>
      </x:c>
      <x:c r="C248" s="17" t="str">
        <x:v>OS-4366</x:v>
      </x:c>
      <x:c r="D248" s="17" t="str">
        <x:v>2026-04-20 17:20:00</x:v>
      </x:c>
      <x:c r="E248" s="17" t="str">
        <x:v>Johnson&amp;Johnson</x:v>
      </x:c>
      <x:c r="F248" s="17" t="str">
        <x:v>Stéphan Portha - indeterminado</x:v>
      </x:c>
      <x:c r="G248" s="17" t="str">
        <x:v>Concluído</x:v>
      </x:c>
      <x:c r="H248" s="17" t="str">
        <x:v>Pago</x:v>
      </x:c>
      <x:c r="I248" s="21" t="n">
        <x:v>632.63</x:v>
      </x:c>
    </x:row>
    <x:row r="249" ht="24" hidden="0" customHeight="1">
      <x:c r="A249" s="17" t="n">
        <x:v>249</x:v>
      </x:c>
      <x:c r="B249" s="17" t="str">
        <x:v>OP-1083</x:v>
      </x:c>
      <x:c r="C249" s="17" t="str">
        <x:v>OS-4367</x:v>
      </x:c>
      <x:c r="D249" s="17" t="str">
        <x:v>2026-04-20 17:30:00</x:v>
      </x:c>
      <x:c r="E249" s="17" t="str">
        <x:v>Johnson&amp;Johnson</x:v>
      </x:c>
      <x:c r="F249" s="17" t="str">
        <x:v>Joe Bonnano - indeterminado;
Tara O'Brien - indeterminado</x:v>
      </x:c>
      <x:c r="G249" s="17" t="str">
        <x:v>Concluído</x:v>
      </x:c>
      <x:c r="H249" s="17" t="str">
        <x:v>Pago</x:v>
      </x:c>
      <x:c r="I249" s="21" t="n">
        <x:v>160.51</x:v>
      </x:c>
    </x:row>
    <x:row r="250" ht="15" hidden="0" customHeight="1">
      <x:c r="A250" s="17" t="n">
        <x:v>250</x:v>
      </x:c>
      <x:c r="B250" s="17" t="str">
        <x:v>OP-1064</x:v>
      </x:c>
      <x:c r="C250" s="17" t="str">
        <x:v>OS-4425</x:v>
      </x:c>
      <x:c r="D250" s="17" t="str">
        <x:v>2026-04-21 05:45:00</x:v>
      </x:c>
      <x:c r="E250" s="17" t="str">
        <x:v>Johnson&amp;Johnson</x:v>
      </x:c>
      <x:c r="F250" s="17" t="str">
        <x:v>Alberto Guerrero - indeterminado</x:v>
      </x:c>
      <x:c r="G250" s="17" t="str">
        <x:v>Concluído</x:v>
      </x:c>
      <x:c r="H250" s="17" t="str">
        <x:v>Pago</x:v>
      </x:c>
      <x:c r="I250" s="21" t="n">
        <x:v>632.63</x:v>
      </x:c>
    </x:row>
    <x:row r="251" ht="15" hidden="0" customHeight="1">
      <x:c r="A251" s="17" t="n">
        <x:v>251</x:v>
      </x:c>
      <x:c r="B251" s="17" t="str">
        <x:v>OP-1219</x:v>
      </x:c>
      <x:c r="C251" s="17" t="str">
        <x:v>OS-4406</x:v>
      </x:c>
      <x:c r="D251" s="17" t="str">
        <x:v>2026-04-21 06:45:00</x:v>
      </x:c>
      <x:c r="E251" s="17" t="str">
        <x:v>Embraer</x:v>
      </x:c>
      <x:c r="F251" s="17" t="str">
        <x:v>MARCELO TELES GOMES - (12) 99101-9701</x:v>
      </x:c>
      <x:c r="G251" s="17" t="str">
        <x:v>Concluído</x:v>
      </x:c>
      <x:c r="H251" s="17" t="str">
        <x:v>Pago</x:v>
      </x:c>
      <x:c r="I251" s="21" t="n">
        <x:v>464.1</x:v>
      </x:c>
    </x:row>
    <x:row r="252" ht="15" hidden="0" customHeight="1">
      <x:c r="A252" s="17" t="n">
        <x:v>252</x:v>
      </x:c>
      <x:c r="B252" s="17" t="str">
        <x:v>OP-1081</x:v>
      </x:c>
      <x:c r="C252" s="17" t="str">
        <x:v>OS-4427</x:v>
      </x:c>
      <x:c r="D252" s="17" t="str">
        <x:v>2026-04-21 08:00:00</x:v>
      </x:c>
      <x:c r="E252" s="17" t="str">
        <x:v>Particular</x:v>
      </x:c>
      <x:c r="F252" s="17" t="str">
        <x:v>Alvadi Serpa Junior - +1 (321) 844-1032</x:v>
      </x:c>
      <x:c r="G252" s="17" t="str">
        <x:v>Concluído</x:v>
      </x:c>
      <x:c r="H252" s="17" t="str">
        <x:v>Pago</x:v>
      </x:c>
      <x:c r="I252" s="21" t="n">
        <x:v>713.56</x:v>
      </x:c>
    </x:row>
    <x:row r="253" ht="36" hidden="0" customHeight="1">
      <x:c r="A253" s="17" t="n">
        <x:v>253</x:v>
      </x:c>
      <x:c r="B253" s="17" t="str">
        <x:v>OP-1083</x:v>
      </x:c>
      <x:c r="C253" s="17" t="str">
        <x:v>OS-4368</x:v>
      </x:c>
      <x:c r="D253" s="17" t="str">
        <x:v>2026-04-21 08:30:00</x:v>
      </x:c>
      <x:c r="E253" s="17" t="str">
        <x:v>Johnson&amp;Johnson</x:v>
      </x:c>
      <x:c r="F253" s="17" t="str">
        <x:v>Joe Bonnano - indeterminado;
Tara O'Brien - indeterminado;
Stéphan Portha - indeterminado</x:v>
      </x:c>
      <x:c r="G253" s="17" t="str">
        <x:v>Concluído</x:v>
      </x:c>
      <x:c r="H253" s="17" t="str">
        <x:v>Pago</x:v>
      </x:c>
      <x:c r="I253" s="21" t="n">
        <x:v>173.51</x:v>
      </x:c>
    </x:row>
    <x:row r="254" ht="15" hidden="0" customHeight="1">
      <x:c r="A254" s="17" t="n">
        <x:v>254</x:v>
      </x:c>
      <x:c r="B254" s="17" t="str">
        <x:v>OP-1064</x:v>
      </x:c>
      <x:c r="C254" s="17" t="str">
        <x:v>OS-4424</x:v>
      </x:c>
      <x:c r="D254" s="17" t="str">
        <x:v>2026-04-21 09:00:00</x:v>
      </x:c>
      <x:c r="E254" s="17" t="str">
        <x:v>Johnson&amp;Johnson</x:v>
      </x:c>
      <x:c r="F254" s="17" t="str">
        <x:v>Reagan Doerstling - indeterminado</x:v>
      </x:c>
      <x:c r="G254" s="17" t="str">
        <x:v>Concluído</x:v>
      </x:c>
      <x:c r="H254" s="17" t="str">
        <x:v>Pago</x:v>
      </x:c>
      <x:c r="I254" s="21" t="n">
        <x:v>632.63</x:v>
      </x:c>
    </x:row>
    <x:row r="255" ht="36" hidden="0" customHeight="1">
      <x:c r="A255" s="17" t="n">
        <x:v>255</x:v>
      </x:c>
      <x:c r="B255" s="17" t="str">
        <x:v>OP-1064</x:v>
      </x:c>
      <x:c r="C255" s="17" t="str">
        <x:v>OS-4423</x:v>
      </x:c>
      <x:c r="D255" s="17" t="str">
        <x:v>2026-04-21 09:45:00</x:v>
      </x:c>
      <x:c r="E255" s="17" t="str">
        <x:v>Johnson&amp;Johnson</x:v>
      </x:c>
      <x:c r="F255" s="17" t="str">
        <x:v>Mike Ferran - indeterminado;
Briam Drilling - indeterminado;
Taylor Betz - indeterminado</x:v>
      </x:c>
      <x:c r="G255" s="17" t="str">
        <x:v>Concluído</x:v>
      </x:c>
      <x:c r="H255" s="17" t="str">
        <x:v>Pago</x:v>
      </x:c>
      <x:c r="I255" s="21" t="n">
        <x:v>632.63</x:v>
      </x:c>
    </x:row>
    <x:row r="256" ht="36" hidden="0" customHeight="1">
      <x:c r="A256" s="17" t="n">
        <x:v>256</x:v>
      </x:c>
      <x:c r="B256" s="17" t="str">
        <x:v>OP-1083</x:v>
      </x:c>
      <x:c r="C256" s="17" t="str">
        <x:v>OS-4422</x:v>
      </x:c>
      <x:c r="D256" s="17" t="str">
        <x:v>2026-04-21 17:30:00</x:v>
      </x:c>
      <x:c r="E256" s="17" t="str">
        <x:v>Johnson&amp;Johnson</x:v>
      </x:c>
      <x:c r="F256" s="17" t="str">
        <x:v>Joe Bonnano - indeterminado;
Tara O'Brien - indeterminado;
Stéphan Portha - indeterminado</x:v>
      </x:c>
      <x:c r="G256" s="17" t="str">
        <x:v>Concluído</x:v>
      </x:c>
      <x:c r="H256" s="17" t="str">
        <x:v>Pago</x:v>
      </x:c>
      <x:c r="I256" s="21" t="n">
        <x:v>160.51</x:v>
      </x:c>
    </x:row>
    <x:row r="257" ht="15" hidden="0" customHeight="1">
      <x:c r="A257" s="17" t="n">
        <x:v>257</x:v>
      </x:c>
      <x:c r="B257" s="17" t="str">
        <x:v>OP-1221</x:v>
      </x:c>
      <x:c r="C257" s="17" t="str">
        <x:v>OS-4378</x:v>
      </x:c>
      <x:c r="D257" s="17" t="str">
        <x:v>2026-04-21 23:55:00</x:v>
      </x:c>
      <x:c r="E257" s="17" t="str">
        <x:v>Eldorado do Brasil</x:v>
      </x:c>
      <x:c r="F257" s="17" t="str">
        <x:v>Marlos Jorge de Souza Guedes - (12) 9 9775-7755</x:v>
      </x:c>
      <x:c r="G257" s="17" t="str">
        <x:v>Concluído</x:v>
      </x:c>
      <x:c r="H257" s="17" t="str">
        <x:v>Pago</x:v>
      </x:c>
      <x:c r="I257" s="21" t="n">
        <x:v>649.95</x:v>
      </x:c>
    </x:row>
    <x:row r="258" ht="15" hidden="0" customHeight="1">
      <x:c r="A258" s="17" t="n">
        <x:v>258</x:v>
      </x:c>
      <x:c r="B258" s="17" t="str">
        <x:v>OP-1068</x:v>
      </x:c>
      <x:c r="C258" s="17" t="str">
        <x:v>OS-4381</x:v>
      </x:c>
      <x:c r="D258" s="17" t="str">
        <x:v>2026-04-22 01:00:00</x:v>
      </x:c>
      <x:c r="E258" s="17" t="str">
        <x:v>Johnson&amp;Johnson</x:v>
      </x:c>
      <x:c r="F258" s="17" t="str">
        <x:v>Gerardo Vargas - indeterminado</x:v>
      </x:c>
      <x:c r="G258" s="17" t="str">
        <x:v>Concluído</x:v>
      </x:c>
      <x:c r="H258" s="17" t="str">
        <x:v>Pago</x:v>
      </x:c>
      <x:c r="I258" s="21" t="n">
        <x:v>1100.13</x:v>
      </x:c>
    </x:row>
    <x:row r="259" ht="24" hidden="0" customHeight="1">
      <x:c r="A259" s="17" t="n">
        <x:v>259</x:v>
      </x:c>
      <x:c r="B259" s="17" t="str">
        <x:v>OP-1219</x:v>
      </x:c>
      <x:c r="C259" s="17" t="str">
        <x:v>OS-4417</x:v>
      </x:c>
      <x:c r="D259" s="17" t="str">
        <x:v>2026-04-22 04:15:00</x:v>
      </x:c>
      <x:c r="E259" s="17" t="str">
        <x:v>Embraer</x:v>
      </x:c>
      <x:c r="F259" s="17" t="str">
        <x:v>SHANTALA APARECIDA RIBEIRO ARAUJO - (12) 99685-1259;
LUCIANO DE SOUZA SANTOS - (12)9105-4999</x:v>
      </x:c>
      <x:c r="G259" s="17" t="str">
        <x:v>Concluído</x:v>
      </x:c>
      <x:c r="H259" s="17" t="str">
        <x:v>Pago</x:v>
      </x:c>
      <x:c r="I259" s="21" t="n">
        <x:v>1887.7</x:v>
      </x:c>
    </x:row>
    <x:row r="260" ht="15" hidden="0" customHeight="1">
      <x:c r="A260" s="17" t="n">
        <x:v>260</x:v>
      </x:c>
      <x:c r="B260" s="17" t="str">
        <x:v>OP-1219</x:v>
      </x:c>
      <x:c r="C260" s="17" t="str">
        <x:v>OS-4418</x:v>
      </x:c>
      <x:c r="D260" s="17" t="str">
        <x:v>2026-04-22 05:40:00</x:v>
      </x:c>
      <x:c r="E260" s="17" t="str">
        <x:v>Embraer</x:v>
      </x:c>
      <x:c r="F260" s="17" t="str">
        <x:v>Kevin McAllister - indeterminado</x:v>
      </x:c>
      <x:c r="G260" s="17" t="str">
        <x:v>Concluído</x:v>
      </x:c>
      <x:c r="H260" s="17" t="str">
        <x:v>Pago</x:v>
      </x:c>
      <x:c r="I260" s="21" t="n">
        <x:v>666.34</x:v>
      </x:c>
    </x:row>
    <x:row r="261" ht="15" hidden="0" customHeight="1">
      <x:c r="A261" s="17" t="n">
        <x:v>261</x:v>
      </x:c>
      <x:c r="B261" s="17" t="str">
        <x:v>OP-1063</x:v>
      </x:c>
      <x:c r="C261" s="17" t="str">
        <x:v>OS-4389</x:v>
      </x:c>
      <x:c r="D261" s="17" t="str">
        <x:v>2026-04-22 06:45:00</x:v>
      </x:c>
      <x:c r="E261" s="17" t="str">
        <x:v>Johnson&amp;Johnson</x:v>
      </x:c>
      <x:c r="F261" s="17" t="str">
        <x:v>Ana Carla Ferreira Souza - 12 981752422</x:v>
      </x:c>
      <x:c r="G261" s="17" t="str">
        <x:v>Concluído</x:v>
      </x:c>
      <x:c r="H261" s="17" t="str">
        <x:v>Pago</x:v>
      </x:c>
      <x:c r="I261" s="21" t="n">
        <x:v>509.98</x:v>
      </x:c>
    </x:row>
    <x:row r="262" ht="15" hidden="0" customHeight="1">
      <x:c r="A262" s="17" t="n">
        <x:v>262</x:v>
      </x:c>
      <x:c r="B262" s="17" t="str">
        <x:v>OP-1219</x:v>
      </x:c>
      <x:c r="C262" s="17" t="str">
        <x:v>OS-4419</x:v>
      </x:c>
      <x:c r="D262" s="17" t="str">
        <x:v>2026-04-22 06:45:00</x:v>
      </x:c>
      <x:c r="E262" s="17" t="str">
        <x:v>Embraer</x:v>
      </x:c>
      <x:c r="F262" s="17" t="str">
        <x:v>ALEXANDRE VILLACA GARCIA DE FIGUEIREDO - (12) 98152-4881</x:v>
      </x:c>
      <x:c r="G262" s="17" t="str">
        <x:v>Concluído</x:v>
      </x:c>
      <x:c r="H262" s="17" t="str">
        <x:v>Pago</x:v>
      </x:c>
      <x:c r="I262" s="21" t="n">
        <x:v>464.1</x:v>
      </x:c>
    </x:row>
    <x:row r="263" ht="15" hidden="0" customHeight="1">
      <x:c r="A263" s="17" t="n">
        <x:v>263</x:v>
      </x:c>
      <x:c r="B263" s="17" t="str">
        <x:v>OP-1219</x:v>
      </x:c>
      <x:c r="C263" s="17" t="str">
        <x:v>OS-4428</x:v>
      </x:c>
      <x:c r="D263" s="17" t="str">
        <x:v>2026-04-22 06:55:00</x:v>
      </x:c>
      <x:c r="E263" s="17" t="str">
        <x:v>Embraer</x:v>
      </x:c>
      <x:c r="F263" s="17" t="str">
        <x:v>Todd Freeman - indeterminado</x:v>
      </x:c>
      <x:c r="G263" s="17" t="str">
        <x:v>Concluído</x:v>
      </x:c>
      <x:c r="H263" s="17" t="str">
        <x:v>Pago</x:v>
      </x:c>
      <x:c r="I263" s="21" t="n">
        <x:v>666.34</x:v>
      </x:c>
    </x:row>
    <x:row r="264" ht="60" hidden="0" customHeight="1">
      <x:c r="A264" s="17" t="n">
        <x:v>264</x:v>
      </x:c>
      <x:c r="B264" s="17" t="str">
        <x:v>OP-1064</x:v>
      </x:c>
      <x:c r="C264" s="17" t="str">
        <x:v>OS-4435</x:v>
      </x:c>
      <x:c r="D264" s="17" t="str">
        <x:v>2026-04-22 07:20:00</x:v>
      </x:c>
      <x:c r="E264" s="17" t="str">
        <x:v>Johnson&amp;Johnson</x:v>
      </x:c>
      <x:c r="F264" s="17" t="str">
        <x:v>Alberto Guerrero - ‪+1 (305) 790‑2514‬;
Briam Drilling - indeterminado;
Taylor Betz - indeterminado;
Mike Ferran - indeterminado;
Reagan Doerstling - indeterminado</x:v>
      </x:c>
      <x:c r="G264" s="17" t="str">
        <x:v>Concluído</x:v>
      </x:c>
      <x:c r="H264" s="17" t="str">
        <x:v>Pago</x:v>
      </x:c>
      <x:c r="I264" s="21" t="n">
        <x:v>173.51</x:v>
      </x:c>
    </x:row>
    <x:row r="265" ht="60" hidden="0" customHeight="1">
      <x:c r="A265" s="17" t="n">
        <x:v>265</x:v>
      </x:c>
      <x:c r="B265" s="17" t="str">
        <x:v>OP-1064</x:v>
      </x:c>
      <x:c r="C265" s="17" t="str">
        <x:v>OS-4436</x:v>
      </x:c>
      <x:c r="D265" s="17" t="str">
        <x:v>2026-04-22 07:20:00</x:v>
      </x:c>
      <x:c r="E265" s="17" t="str">
        <x:v>Johnson&amp;Johnson</x:v>
      </x:c>
      <x:c r="F265" s="17" t="str">
        <x:v>Alberto Guerrero - ‪+1 (305) 790‑2514‬;
Briam Drilling - indeterminado;
Taylor Betz - indeterminado;
Mike Ferran - indeterminado;
Reagan Doerstling - indeterminado</x:v>
      </x:c>
      <x:c r="G265" s="17" t="str">
        <x:v>Concluído</x:v>
      </x:c>
      <x:c r="H265" s="17" t="str">
        <x:v>Pago</x:v>
      </x:c>
      <x:c r="I265" s="21" t="n">
        <x:v>173.51</x:v>
      </x:c>
    </x:row>
    <x:row r="266" ht="15" hidden="0" customHeight="1">
      <x:c r="A266" s="17" t="n">
        <x:v>266</x:v>
      </x:c>
      <x:c r="B266" s="17" t="str">
        <x:v>OP-1068</x:v>
      </x:c>
      <x:c r="C266" s="17" t="str">
        <x:v>OS-4393</x:v>
      </x:c>
      <x:c r="D266" s="17" t="str">
        <x:v>2026-04-22 08:30:00</x:v>
      </x:c>
      <x:c r="E266" s="17" t="str">
        <x:v>Johnson&amp;Johnson</x:v>
      </x:c>
      <x:c r="F266" s="17" t="str">
        <x:v>Gerardo Vargas - indeterminado</x:v>
      </x:c>
      <x:c r="G266" s="17" t="str">
        <x:v>Concluído</x:v>
      </x:c>
      <x:c r="H266" s="17" t="str">
        <x:v>Pago</x:v>
      </x:c>
      <x:c r="I266" s="21" t="n">
        <x:v>3307.72</x:v>
      </x:c>
    </x:row>
    <x:row r="267" ht="36" hidden="0" customHeight="1">
      <x:c r="A267" s="17" t="n">
        <x:v>267</x:v>
      </x:c>
      <x:c r="B267" s="17" t="str">
        <x:v>OP-1083</x:v>
      </x:c>
      <x:c r="C267" s="17" t="str">
        <x:v>OS-4421</x:v>
      </x:c>
      <x:c r="D267" s="17" t="str">
        <x:v>2026-04-22 08:30:00</x:v>
      </x:c>
      <x:c r="E267" s="17" t="str">
        <x:v>Johnson&amp;Johnson</x:v>
      </x:c>
      <x:c r="F267" s="17" t="str">
        <x:v>Joe Bonnano - indeterminado;
Tara O'Brien - indeterminado;
Stéphan Portha - indeterminado</x:v>
      </x:c>
      <x:c r="G267" s="17" t="str">
        <x:v>Concluído</x:v>
      </x:c>
      <x:c r="H267" s="17" t="str">
        <x:v>Pago</x:v>
      </x:c>
      <x:c r="I267" s="21" t="n">
        <x:v>173.51</x:v>
      </x:c>
    </x:row>
    <x:row r="268" ht="15" hidden="0" customHeight="1">
      <x:c r="A268" s="17" t="n">
        <x:v>268</x:v>
      </x:c>
      <x:c r="B268" s="17" t="str">
        <x:v>OP-1070</x:v>
      </x:c>
      <x:c r="C268" s="17" t="str">
        <x:v>OS-4447</x:v>
      </x:c>
      <x:c r="D268" s="17" t="str">
        <x:v>2026-04-22 09:00:00</x:v>
      </x:c>
      <x:c r="E268" s="17" t="str">
        <x:v>Johnson&amp;Johnson</x:v>
      </x:c>
      <x:c r="F268" s="17" t="str">
        <x:v>Leandro carvalho - 12 99158-0060</x:v>
      </x:c>
      <x:c r="G268" s="17" t="str">
        <x:v>Concluído</x:v>
      </x:c>
      <x:c r="H268" s="17" t="str">
        <x:v>Pago</x:v>
      </x:c>
      <x:c r="I268" s="21" t="n">
        <x:v>624.18</x:v>
      </x:c>
    </x:row>
    <x:row r="269" ht="24" hidden="0" customHeight="1">
      <x:c r="A269" s="17" t="n">
        <x:v>269</x:v>
      </x:c>
      <x:c r="B269" s="17" t="str">
        <x:v>OP-1066</x:v>
      </x:c>
      <x:c r="C269" s="17" t="str">
        <x:v>OS-4119</x:v>
      </x:c>
      <x:c r="D269" s="17" t="str">
        <x:v>2026-04-22 09:30:00</x:v>
      </x:c>
      <x:c r="E269" s="17" t="str">
        <x:v>Johnson&amp;Johnson</x:v>
      </x:c>
      <x:c r="F269" s="17" t="str">
        <x:v>Leticia Tostes - 16 991722644;
José Jairo Irineu - +55 12 99125-4242</x:v>
      </x:c>
      <x:c r="G269" s="17" t="str">
        <x:v>Concluído</x:v>
      </x:c>
      <x:c r="H269" s="17" t="str">
        <x:v>Pago</x:v>
      </x:c>
      <x:c r="I269" s="21" t="n">
        <x:v>719.37</x:v>
      </x:c>
    </x:row>
    <x:row r="270" ht="15" hidden="0" customHeight="1">
      <x:c r="A270" s="17" t="n">
        <x:v>270</x:v>
      </x:c>
      <x:c r="B270" s="17" t="str">
        <x:v>OP-1219</x:v>
      </x:c>
      <x:c r="C270" s="17" t="str">
        <x:v>OS-4429</x:v>
      </x:c>
      <x:c r="D270" s="17" t="str">
        <x:v>2026-04-22 11:30:00</x:v>
      </x:c>
      <x:c r="E270" s="17" t="str">
        <x:v>Embraer</x:v>
      </x:c>
      <x:c r="F270" s="17" t="str">
        <x:v>FERNANDO ANTONIO ARAUJO OLIVEIRA - (12)8156-8923</x:v>
      </x:c>
      <x:c r="G270" s="17" t="str">
        <x:v>Concluído</x:v>
      </x:c>
      <x:c r="H270" s="17" t="str">
        <x:v>Pago</x:v>
      </x:c>
      <x:c r="I270" s="21" t="n">
        <x:v>978.1</x:v>
      </x:c>
    </x:row>
    <x:row r="271" ht="15" hidden="0" customHeight="1">
      <x:c r="A271" s="17" t="n">
        <x:v>271</x:v>
      </x:c>
      <x:c r="B271" s="17" t="str">
        <x:v>OP-1219</x:v>
      </x:c>
      <x:c r="C271" s="17" t="str">
        <x:v>OS-4430</x:v>
      </x:c>
      <x:c r="D271" s="17" t="str">
        <x:v>2026-04-22 11:40:00</x:v>
      </x:c>
      <x:c r="E271" s="17" t="str">
        <x:v>Embraer</x:v>
      </x:c>
      <x:c r="F271" s="17" t="str">
        <x:v>Mauricio Medeiros - indeterminado</x:v>
      </x:c>
      <x:c r="G271" s="17" t="str">
        <x:v>Concluído</x:v>
      </x:c>
      <x:c r="H271" s="17" t="str">
        <x:v>Pago</x:v>
      </x:c>
      <x:c r="I271" s="21" t="n">
        <x:v>719.08</x:v>
      </x:c>
    </x:row>
    <x:row r="272" ht="15" hidden="0" customHeight="1">
      <x:c r="A272" s="17" t="n">
        <x:v>272</x:v>
      </x:c>
      <x:c r="B272" s="17" t="str">
        <x:v>OP-1219</x:v>
      </x:c>
      <x:c r="C272" s="17" t="str">
        <x:v>OS-4431</x:v>
      </x:c>
      <x:c r="D272" s="17" t="str">
        <x:v>2026-04-22 12:00:00</x:v>
      </x:c>
      <x:c r="E272" s="17" t="str">
        <x:v>Embraer</x:v>
      </x:c>
      <x:c r="F272" s="17" t="str">
        <x:v>Todd Freeman - indeterminado</x:v>
      </x:c>
      <x:c r="G272" s="17" t="str">
        <x:v>Concluído</x:v>
      </x:c>
      <x:c r="H272" s="17" t="str">
        <x:v>Pago</x:v>
      </x:c>
      <x:c r="I272" s="21" t="n">
        <x:v>554.94</x:v>
      </x:c>
    </x:row>
    <x:row r="273" ht="15" hidden="0" customHeight="1">
      <x:c r="A273" s="17" t="n">
        <x:v>273</x:v>
      </x:c>
      <x:c r="B273" s="17" t="str">
        <x:v>OP-1219</x:v>
      </x:c>
      <x:c r="C273" s="17" t="str">
        <x:v>OS-4459</x:v>
      </x:c>
      <x:c r="D273" s="17" t="str">
        <x:v>2026-04-22 12:30:00</x:v>
      </x:c>
      <x:c r="E273" s="17" t="str">
        <x:v>Embraer</x:v>
      </x:c>
      <x:c r="F273" s="17" t="str">
        <x:v>Kevin McAllister - indeterminado</x:v>
      </x:c>
      <x:c r="G273" s="17" t="str">
        <x:v>Concluído</x:v>
      </x:c>
      <x:c r="H273" s="17" t="str">
        <x:v>Pago</x:v>
      </x:c>
      <x:c r="I273" s="21" t="n">
        <x:v>554.94</x:v>
      </x:c>
    </x:row>
    <x:row r="274" ht="15" hidden="0" customHeight="1">
      <x:c r="A274" s="17" t="n">
        <x:v>274</x:v>
      </x:c>
      <x:c r="B274" s="17" t="str">
        <x:v>OP-1219</x:v>
      </x:c>
      <x:c r="C274" s="17" t="str">
        <x:v>OS-4470</x:v>
      </x:c>
      <x:c r="D274" s="17" t="str">
        <x:v>2026-04-22 16:00:00</x:v>
      </x:c>
      <x:c r="E274" s="17" t="str">
        <x:v>Embraer</x:v>
      </x:c>
      <x:c r="F274" s="17" t="str">
        <x:v>Transporte F300 - indeterminado</x:v>
      </x:c>
      <x:c r="G274" s="17" t="str">
        <x:v>Concluído</x:v>
      </x:c>
      <x:c r="H274" s="17" t="str">
        <x:v>Pago</x:v>
      </x:c>
      <x:c r="I274" s="21" t="n">
        <x:v>179.64</x:v>
      </x:c>
    </x:row>
    <x:row r="275" ht="60" hidden="0" customHeight="1">
      <x:c r="A275" s="17" t="n">
        <x:v>275</x:v>
      </x:c>
      <x:c r="B275" s="17" t="str">
        <x:v>OP-1064</x:v>
      </x:c>
      <x:c r="C275" s="17" t="str">
        <x:v>OS-4438</x:v>
      </x:c>
      <x:c r="D275" s="17" t="str">
        <x:v>2026-04-22 17:00:00</x:v>
      </x:c>
      <x:c r="E275" s="17" t="str">
        <x:v>Johnson&amp;Johnson</x:v>
      </x:c>
      <x:c r="F275" s="17" t="str">
        <x:v>Alberto Guerrero - ‪+1 (305) 790‑2514‬;
Briam Drilling - indeterminado;
Taylor Betz - indeterminado;
Mike Ferran - indeterminado;
Reagan Doerstling - indeterminado</x:v>
      </x:c>
      <x:c r="G275" s="17" t="str">
        <x:v>Concluído</x:v>
      </x:c>
      <x:c r="H275" s="17" t="str">
        <x:v>Pago</x:v>
      </x:c>
      <x:c r="I275" s="21" t="n">
        <x:v>489.65</x:v>
      </x:c>
    </x:row>
    <x:row r="276" ht="60" hidden="0" customHeight="1">
      <x:c r="A276" s="17" t="n">
        <x:v>276</x:v>
      </x:c>
      <x:c r="B276" s="17" t="str">
        <x:v>OP-1064</x:v>
      </x:c>
      <x:c r="C276" s="17" t="str">
        <x:v>OS-4439</x:v>
      </x:c>
      <x:c r="D276" s="17" t="str">
        <x:v>2026-04-22 17:00:00</x:v>
      </x:c>
      <x:c r="E276" s="17" t="str">
        <x:v>Johnson&amp;Johnson</x:v>
      </x:c>
      <x:c r="F276" s="17" t="str">
        <x:v>Alberto Guerrero - ‪+1 (305) 790‑2514‬;
Briam Drilling - indeterminado;
Taylor Betz - indeterminado;
Mike Ferran - indeterminado;
Reagan Doerstling - indeterminado</x:v>
      </x:c>
      <x:c r="G276" s="17" t="str">
        <x:v>Concluído</x:v>
      </x:c>
      <x:c r="H276" s="17" t="str">
        <x:v>Pago</x:v>
      </x:c>
      <x:c r="I276" s="21" t="n">
        <x:v>489.65</x:v>
      </x:c>
    </x:row>
    <x:row r="277" ht="15" hidden="0" customHeight="1">
      <x:c r="A277" s="17" t="n">
        <x:v>277</x:v>
      </x:c>
      <x:c r="B277" s="17" t="str">
        <x:v>OP-1219</x:v>
      </x:c>
      <x:c r="C277" s="17" t="str">
        <x:v>OS-4432</x:v>
      </x:c>
      <x:c r="D277" s="17" t="str">
        <x:v>2026-04-22 17:30:00</x:v>
      </x:c>
      <x:c r="E277" s="17" t="str">
        <x:v>Embraer</x:v>
      </x:c>
      <x:c r="F277" s="17" t="str">
        <x:v>MAURICIO DIAS DA SILVA FILHO - (12) 98232-8144</x:v>
      </x:c>
      <x:c r="G277" s="17" t="str">
        <x:v>Concluído</x:v>
      </x:c>
      <x:c r="H277" s="17" t="str">
        <x:v>Pago</x:v>
      </x:c>
      <x:c r="I277" s="21" t="n">
        <x:v>397.1</x:v>
      </x:c>
    </x:row>
    <x:row r="278" ht="15" hidden="0" customHeight="1">
      <x:c r="A278" s="17" t="n">
        <x:v>278</x:v>
      </x:c>
      <x:c r="B278" s="17" t="str">
        <x:v>OP-1219</x:v>
      </x:c>
      <x:c r="C278" s="17" t="str">
        <x:v>OS-4433</x:v>
      </x:c>
      <x:c r="D278" s="17" t="str">
        <x:v>2026-04-22 17:40:00</x:v>
      </x:c>
      <x:c r="E278" s="17" t="str">
        <x:v>Embraer</x:v>
      </x:c>
      <x:c r="F278" s="17" t="str">
        <x:v>Ana Carolina Gerardi - 012 98141-254</x:v>
      </x:c>
      <x:c r="G278" s="17" t="str">
        <x:v>Concluído</x:v>
      </x:c>
      <x:c r="H278" s="17" t="str">
        <x:v>Pago</x:v>
      </x:c>
      <x:c r="I278" s="21" t="n">
        <x:v>2014.18</x:v>
      </x:c>
    </x:row>
    <x:row r="279" ht="36" hidden="0" customHeight="1">
      <x:c r="A279" s="17" t="n">
        <x:v>279</x:v>
      </x:c>
      <x:c r="B279" s="17" t="str">
        <x:v>OP-1083</x:v>
      </x:c>
      <x:c r="C279" s="17" t="str">
        <x:v>OS-4437</x:v>
      </x:c>
      <x:c r="D279" s="17" t="str">
        <x:v>2026-04-22 17:40:00</x:v>
      </x:c>
      <x:c r="E279" s="17" t="str">
        <x:v>Johnson&amp;Johnson</x:v>
      </x:c>
      <x:c r="F279" s="17" t="str">
        <x:v>Joe Bonnano - indeterminado;
Tara O'Brien - indeterminado;
Stéphan Portha - indeterminado</x:v>
      </x:c>
      <x:c r="G279" s="17" t="str">
        <x:v>Concluído</x:v>
      </x:c>
      <x:c r="H279" s="17" t="str">
        <x:v>Pago</x:v>
      </x:c>
      <x:c r="I279" s="21" t="n">
        <x:v>638.39</x:v>
      </x:c>
    </x:row>
    <x:row r="280" ht="36" hidden="0" customHeight="1">
      <x:c r="A280" s="17" t="n">
        <x:v>280</x:v>
      </x:c>
      <x:c r="B280" s="17" t="str">
        <x:v>OP-1083</x:v>
      </x:c>
      <x:c r="C280" s="17" t="str">
        <x:v>OS-4369</x:v>
      </x:c>
      <x:c r="D280" s="17" t="str">
        <x:v>2026-04-23 06:00:00</x:v>
      </x:c>
      <x:c r="E280" s="17" t="str">
        <x:v>Johnson&amp;Johnson</x:v>
      </x:c>
      <x:c r="F280" s="17" t="str">
        <x:v>Joe Bonnano - indeterminado;
Tara O'Brien - indeterminado;
Estefania Moreno - indeterminado</x:v>
      </x:c>
      <x:c r="G280" s="17" t="str">
        <x:v>Concluído</x:v>
      </x:c>
      <x:c r="H280" s="17" t="str">
        <x:v>Pago</x:v>
      </x:c>
      <x:c r="I280" s="21" t="n">
        <x:v>994.61</x:v>
      </x:c>
    </x:row>
    <x:row r="281" ht="15" hidden="0" customHeight="1">
      <x:c r="A281" s="17" t="n">
        <x:v>281</x:v>
      </x:c>
      <x:c r="B281" s="17" t="str">
        <x:v>OP-1065</x:v>
      </x:c>
      <x:c r="C281" s="17" t="str">
        <x:v>OS-4185</x:v>
      </x:c>
      <x:c r="D281" s="17" t="str">
        <x:v>2026-04-23 06:45:00</x:v>
      </x:c>
      <x:c r="E281" s="17" t="str">
        <x:v>Boeing</x:v>
      </x:c>
      <x:c r="F281" s="17" t="str">
        <x:v>Victor Fukushima - +55 12 98214-0275</x:v>
      </x:c>
      <x:c r="G281" s="17" t="str">
        <x:v>Concluído</x:v>
      </x:c>
      <x:c r="H281" s="17" t="str">
        <x:v>Pago</x:v>
      </x:c>
      <x:c r="I281" s="21" t="n">
        <x:v>463.05</x:v>
      </x:c>
    </x:row>
    <x:row r="282" ht="60" hidden="0" customHeight="1">
      <x:c r="A282" s="17" t="n">
        <x:v>282</x:v>
      </x:c>
      <x:c r="B282" s="17" t="str">
        <x:v>OP-1064</x:v>
      </x:c>
      <x:c r="C282" s="17" t="str">
        <x:v>OS-4479</x:v>
      </x:c>
      <x:c r="D282" s="17" t="str">
        <x:v>2026-04-23 07:45:00</x:v>
      </x:c>
      <x:c r="E282" s="17" t="str">
        <x:v>Johnson&amp;Johnson</x:v>
      </x:c>
      <x:c r="F282" s="17" t="str">
        <x:v>Alberto Guerrero - ‪+1 (305) 790‑2514‬;
Briam Drilling - indeterminado;
Taylor Betz - indeterminado;
Mike Ferran - indeterminado;
Reagan Doerstling - indeterminado</x:v>
      </x:c>
      <x:c r="G282" s="17" t="str">
        <x:v>Concluído</x:v>
      </x:c>
      <x:c r="H282" s="17" t="str">
        <x:v>Pago</x:v>
      </x:c>
      <x:c r="I282" s="21" t="n">
        <x:v>160.51</x:v>
      </x:c>
    </x:row>
    <x:row r="283" ht="60" hidden="0" customHeight="1">
      <x:c r="A283" s="17" t="n">
        <x:v>283</x:v>
      </x:c>
      <x:c r="B283" s="17" t="str">
        <x:v>OP-1064</x:v>
      </x:c>
      <x:c r="C283" s="17" t="str">
        <x:v>OS-4480</x:v>
      </x:c>
      <x:c r="D283" s="17" t="str">
        <x:v>2026-04-23 07:45:00</x:v>
      </x:c>
      <x:c r="E283" s="17" t="str">
        <x:v>Johnson&amp;Johnson</x:v>
      </x:c>
      <x:c r="F283" s="17" t="str">
        <x:v>Alberto Guerrero - ‪+1 (305) 790‑2514‬;
Briam Drilling - indeterminado;
Taylor Betz - indeterminado;
Mike Ferran - indeterminado;
Reagan Doerstling - indeterminado</x:v>
      </x:c>
      <x:c r="G283" s="17" t="str">
        <x:v>Concluído</x:v>
      </x:c>
      <x:c r="H283" s="17" t="str">
        <x:v>Pago</x:v>
      </x:c>
      <x:c r="I283" s="21" t="n">
        <x:v>160.51</x:v>
      </x:c>
    </x:row>
    <x:row r="284" ht="15" hidden="0" customHeight="1">
      <x:c r="A284" s="17" t="n">
        <x:v>284</x:v>
      </x:c>
      <x:c r="B284" s="17" t="str">
        <x:v>OP-1219</x:v>
      </x:c>
      <x:c r="C284" s="17" t="str">
        <x:v>OS-4434</x:v>
      </x:c>
      <x:c r="D284" s="17" t="str">
        <x:v>2026-04-23 08:30:00</x:v>
      </x:c>
      <x:c r="E284" s="17" t="str">
        <x:v>Embraer</x:v>
      </x:c>
      <x:c r="F284" s="17" t="str">
        <x:v>Ana Carolina Gerardi - 012 98141-254</x:v>
      </x:c>
      <x:c r="G284" s="17" t="str">
        <x:v>Concluído</x:v>
      </x:c>
      <x:c r="H284" s="17" t="str">
        <x:v>Pago</x:v>
      </x:c>
      <x:c r="I284" s="21" t="n">
        <x:v>1537.18</x:v>
      </x:c>
    </x:row>
    <x:row r="285" ht="15" hidden="0" customHeight="1">
      <x:c r="A285" s="17" t="n">
        <x:v>285</x:v>
      </x:c>
      <x:c r="B285" s="17" t="str">
        <x:v>OP-1219</x:v>
      </x:c>
      <x:c r="C285" s="17" t="str">
        <x:v>OS-4469</x:v>
      </x:c>
      <x:c r="D285" s="17" t="str">
        <x:v>2026-04-23 08:30:00</x:v>
      </x:c>
      <x:c r="E285" s="17" t="str">
        <x:v>Embraer</x:v>
      </x:c>
      <x:c r="F285" s="17" t="str">
        <x:v>FERNANDO ANTONIO ARAUJO OLIVEIRA - (12)8156-8923</x:v>
      </x:c>
      <x:c r="G285" s="17" t="str">
        <x:v>Concluído</x:v>
      </x:c>
      <x:c r="H285" s="17" t="str">
        <x:v>Pago</x:v>
      </x:c>
      <x:c r="I285" s="21" t="n">
        <x:v>978.1</x:v>
      </x:c>
    </x:row>
    <x:row r="286" ht="24" hidden="0" customHeight="1">
      <x:c r="A286" s="17" t="n">
        <x:v>286</x:v>
      </x:c>
      <x:c r="B286" s="17" t="str">
        <x:v>OP-1219</x:v>
      </x:c>
      <x:c r="C286" s="17" t="str">
        <x:v>OS-4477</x:v>
      </x:c>
      <x:c r="D286" s="17" t="str">
        <x:v>2026-04-23 09:00:00</x:v>
      </x:c>
      <x:c r="E286" s="17" t="str">
        <x:v>Embraer</x:v>
      </x:c>
      <x:c r="F286" s="17" t="str">
        <x:v>GILES AGUTTER - +44 7876 548126;
GUS MAJED - +44(0)7702604545</x:v>
      </x:c>
      <x:c r="G286" s="17" t="str">
        <x:v>Concluído</x:v>
      </x:c>
      <x:c r="H286" s="17" t="str">
        <x:v>Pago</x:v>
      </x:c>
      <x:c r="I286" s="21" t="n">
        <x:v>192.64</x:v>
      </x:c>
    </x:row>
    <x:row r="287" ht="15" hidden="0" customHeight="1">
      <x:c r="A287" s="17" t="n">
        <x:v>287</x:v>
      </x:c>
      <x:c r="B287" s="17" t="str">
        <x:v>OP-1068</x:v>
      </x:c>
      <x:c r="C287" s="17" t="str">
        <x:v>OS-4382</x:v>
      </x:c>
      <x:c r="D287" s="17" t="str">
        <x:v>2026-04-23 10:30:00</x:v>
      </x:c>
      <x:c r="E287" s="17" t="str">
        <x:v>Johnson&amp;Johnson</x:v>
      </x:c>
      <x:c r="F287" s="17" t="str">
        <x:v>Gerardo Vargas - indeterminado</x:v>
      </x:c>
      <x:c r="G287" s="17" t="str">
        <x:v>Concluído</x:v>
      </x:c>
      <x:c r="H287" s="17" t="str">
        <x:v>Pago</x:v>
      </x:c>
      <x:c r="I287" s="21" t="n">
        <x:v>670.63</x:v>
      </x:c>
    </x:row>
    <x:row r="288" ht="48" hidden="0" customHeight="1">
      <x:c r="A288" s="17" t="n">
        <x:v>288</x:v>
      </x:c>
      <x:c r="B288" s="17" t="str">
        <x:v>OP-1064</x:v>
      </x:c>
      <x:c r="C288" s="17" t="str">
        <x:v>OS-4443</x:v>
      </x:c>
      <x:c r="D288" s="17" t="str">
        <x:v>2026-04-23 15:30:00</x:v>
      </x:c>
      <x:c r="E288" s="17" t="str">
        <x:v>Johnson&amp;Johnson</x:v>
      </x:c>
      <x:c r="F288" s="17" t="str">
        <x:v>Mike Ferran - indeterminado;
Briam Drilling - indeterminado;
Taylor Betz - indeterminado;
Reagan Doerstling - indeterminado</x:v>
      </x:c>
      <x:c r="G288" s="17" t="str">
        <x:v>Concluído</x:v>
      </x:c>
      <x:c r="H288" s="17" t="str">
        <x:v>Pago</x:v>
      </x:c>
      <x:c r="I288" s="21" t="n">
        <x:v>509.42</x:v>
      </x:c>
    </x:row>
    <x:row r="289" ht="60" hidden="0" customHeight="1">
      <x:c r="A289" s="17" t="n">
        <x:v>289</x:v>
      </x:c>
      <x:c r="B289" s="17" t="str">
        <x:v>OP-1064</x:v>
      </x:c>
      <x:c r="C289" s="17" t="str">
        <x:v>OS-4445</x:v>
      </x:c>
      <x:c r="D289" s="17" t="str">
        <x:v>2026-04-23 15:30:00</x:v>
      </x:c>
      <x:c r="E289" s="17" t="str">
        <x:v>Johnson&amp;Johnson</x:v>
      </x:c>
      <x:c r="F289" s="17" t="str">
        <x:v>Alberto Guerrero - ‪+1 (305) 790‑2514‬;
Mike Ferran - indeterminado;
Briam Drilling - indeterminado;
Taylor Betz - indeterminado;
Reagan Doerstling - indeterminado</x:v>
      </x:c>
      <x:c r="G289" s="17" t="str">
        <x:v>Concluído</x:v>
      </x:c>
      <x:c r="H289" s="17" t="str">
        <x:v>Pago</x:v>
      </x:c>
      <x:c r="I289" s="21" t="n">
        <x:v>509.42</x:v>
      </x:c>
    </x:row>
    <x:row r="290" ht="24" hidden="0" customHeight="1">
      <x:c r="A290" s="17" t="n">
        <x:v>290</x:v>
      </x:c>
      <x:c r="B290" s="17" t="str">
        <x:v>OP-1219</x:v>
      </x:c>
      <x:c r="C290" s="17" t="str">
        <x:v>OS-4493</x:v>
      </x:c>
      <x:c r="D290" s="17" t="str">
        <x:v>2026-04-23 16:00:00</x:v>
      </x:c>
      <x:c r="E290" s="17" t="str">
        <x:v>Embraer</x:v>
      </x:c>
      <x:c r="F290" s="17" t="str">
        <x:v>ANA LUISA VIEIRA ALMEIDA - (35) 99162-6884;
GABRIELA CRISTINA ANDRADE MARCIANO - (12) 99124-5228</x:v>
      </x:c>
      <x:c r="G290" s="17" t="str">
        <x:v>Concluído</x:v>
      </x:c>
      <x:c r="H290" s="17" t="str">
        <x:v>Pago</x:v>
      </x:c>
      <x:c r="I290" s="21" t="n">
        <x:v>307.08</x:v>
      </x:c>
    </x:row>
    <x:row r="291" ht="15" hidden="0" customHeight="1">
      <x:c r="A291" s="17" t="n">
        <x:v>291</x:v>
      </x:c>
      <x:c r="B291" s="17" t="str">
        <x:v>OP-1083</x:v>
      </x:c>
      <x:c r="C291" s="17" t="str">
        <x:v>OS-4492</x:v>
      </x:c>
      <x:c r="D291" s="17" t="str">
        <x:v>2026-04-23 16:00:00</x:v>
      </x:c>
      <x:c r="E291" s="17" t="str">
        <x:v>Johnson&amp;Johnson</x:v>
      </x:c>
      <x:c r="F291" s="17" t="str">
        <x:v>Stéphan Portha - indeterminado</x:v>
      </x:c>
      <x:c r="G291" s="17" t="str">
        <x:v>Concluído</x:v>
      </x:c>
      <x:c r="H291" s="17" t="str">
        <x:v>Pago</x:v>
      </x:c>
      <x:c r="I291" s="21" t="n">
        <x:v>160.51</x:v>
      </x:c>
    </x:row>
    <x:row r="292" ht="60" hidden="0" customHeight="1">
      <x:c r="A292" s="17" t="n">
        <x:v>292</x:v>
      </x:c>
      <x:c r="B292" s="17" t="str">
        <x:v>OP-1064</x:v>
      </x:c>
      <x:c r="C292" s="17" t="str">
        <x:v>OS-4444</x:v>
      </x:c>
      <x:c r="D292" s="17" t="str">
        <x:v>2026-04-23 16:30:00</x:v>
      </x:c>
      <x:c r="E292" s="17" t="str">
        <x:v>Johnson&amp;Johnson</x:v>
      </x:c>
      <x:c r="F292" s="17" t="str">
        <x:v>Reagan Doerstling - indeterminado;
Mike Ferran - indeterminado;
Briam Drilling - indeterminado;
Taylor Betz - indeterminado;
Alberto Guerrero - ‪+1 (305) 790‑2514‬</x:v>
      </x:c>
      <x:c r="G292" s="17" t="str">
        <x:v>Cancelado</x:v>
      </x:c>
      <x:c r="H292" s="17" t="str">
        <x:v>Pago</x:v>
      </x:c>
      <x:c r="I292" s="21" t="n">
        <x:v>509.42</x:v>
      </x:c>
    </x:row>
    <x:row r="293" ht="15" hidden="0" customHeight="1">
      <x:c r="A293" s="17" t="n">
        <x:v>293</x:v>
      </x:c>
      <x:c r="B293" s="17" t="str">
        <x:v>OP-1219</x:v>
      </x:c>
      <x:c r="C293" s="17" t="str">
        <x:v>OS-4471</x:v>
      </x:c>
      <x:c r="D293" s="17" t="str">
        <x:v>2026-04-23 17:00:00</x:v>
      </x:c>
      <x:c r="E293" s="17" t="str">
        <x:v>Embraer</x:v>
      </x:c>
      <x:c r="F293" s="17" t="str">
        <x:v>Mauricio Medeiros - indeterminado</x:v>
      </x:c>
      <x:c r="G293" s="17" t="str">
        <x:v>Concluído</x:v>
      </x:c>
      <x:c r="H293" s="17" t="str">
        <x:v>Pago</x:v>
      </x:c>
      <x:c r="I293" s="21" t="n">
        <x:v>554.94</x:v>
      </x:c>
    </x:row>
    <x:row r="294" ht="15" hidden="0" customHeight="1">
      <x:c r="A294" s="17" t="n">
        <x:v>294</x:v>
      </x:c>
      <x:c r="B294" s="17" t="str">
        <x:v>OP-1219</x:v>
      </x:c>
      <x:c r="C294" s="17" t="str">
        <x:v>OS-4472</x:v>
      </x:c>
      <x:c r="D294" s="17" t="str">
        <x:v>2026-04-23 17:00:00</x:v>
      </x:c>
      <x:c r="E294" s="17" t="str">
        <x:v>Embraer</x:v>
      </x:c>
      <x:c r="F294" s="17" t="str">
        <x:v>Todd Freeman - indeterminado</x:v>
      </x:c>
      <x:c r="G294" s="17" t="str">
        <x:v>Concluído</x:v>
      </x:c>
      <x:c r="H294" s="17" t="str">
        <x:v>Pago</x:v>
      </x:c>
      <x:c r="I294" s="21" t="n">
        <x:v>2590</x:v>
      </x:c>
    </x:row>
    <x:row r="295" ht="24" hidden="0" customHeight="1">
      <x:c r="A295" s="17" t="n">
        <x:v>295</x:v>
      </x:c>
      <x:c r="B295" s="17" t="str">
        <x:v>OP-1219</x:v>
      </x:c>
      <x:c r="C295" s="17" t="str">
        <x:v>OS-4474</x:v>
      </x:c>
      <x:c r="D295" s="17" t="str">
        <x:v>2026-04-23 17:00:00</x:v>
      </x:c>
      <x:c r="E295" s="17" t="str">
        <x:v>Embraer</x:v>
      </x:c>
      <x:c r="F295" s="17" t="str">
        <x:v>Kevin McAllister - indeterminado;
Nelson Pedreiro - indeterminado</x:v>
      </x:c>
      <x:c r="G295" s="17" t="str">
        <x:v>Concluído</x:v>
      </x:c>
      <x:c r="H295" s="17" t="str">
        <x:v>Pago</x:v>
      </x:c>
      <x:c r="I295" s="21" t="n">
        <x:v>2590</x:v>
      </x:c>
    </x:row>
    <x:row r="296" ht="24" hidden="0" customHeight="1">
      <x:c r="A296" s="17" t="n">
        <x:v>296</x:v>
      </x:c>
      <x:c r="B296" s="17" t="str">
        <x:v>OP-1219</x:v>
      </x:c>
      <x:c r="C296" s="17" t="str">
        <x:v>OS-4478</x:v>
      </x:c>
      <x:c r="D296" s="17" t="str">
        <x:v>2026-04-23 17:00:00</x:v>
      </x:c>
      <x:c r="E296" s="17" t="str">
        <x:v>Embraer</x:v>
      </x:c>
      <x:c r="F296" s="17" t="str">
        <x:v>GILES AGUTTER - +44 7876 548126;
GUS MAJED - +44(0)7702604545</x:v>
      </x:c>
      <x:c r="G296" s="17" t="str">
        <x:v>Concluído</x:v>
      </x:c>
      <x:c r="H296" s="17" t="str">
        <x:v>Pago</x:v>
      </x:c>
      <x:c r="I296" s="21" t="n">
        <x:v>179.64</x:v>
      </x:c>
    </x:row>
    <x:row r="297" ht="15" hidden="0" customHeight="1">
      <x:c r="A297" s="17" t="n">
        <x:v>297</x:v>
      </x:c>
      <x:c r="B297" s="17" t="str">
        <x:v>OP-1219</x:v>
      </x:c>
      <x:c r="C297" s="17" t="str">
        <x:v>OS-4473</x:v>
      </x:c>
      <x:c r="D297" s="17" t="str">
        <x:v>2026-04-23 17:20:00</x:v>
      </x:c>
      <x:c r="E297" s="17" t="str">
        <x:v>Embraer</x:v>
      </x:c>
      <x:c r="F297" s="17" t="str">
        <x:v>HENRIQUE COMUNE DALDOSSO - (12) 99178-2028</x:v>
      </x:c>
      <x:c r="G297" s="17" t="str">
        <x:v>Concluído</x:v>
      </x:c>
      <x:c r="H297" s="17" t="str">
        <x:v>Pago</x:v>
      </x:c>
      <x:c r="I297" s="21" t="n">
        <x:v>464.1</x:v>
      </x:c>
    </x:row>
    <x:row r="298" ht="15" hidden="0" customHeight="1">
      <x:c r="A298" s="17" t="n">
        <x:v>298</x:v>
      </x:c>
      <x:c r="B298" s="17" t="str">
        <x:v>OP-1219</x:v>
      </x:c>
      <x:c r="C298" s="17" t="str">
        <x:v>OS-4498</x:v>
      </x:c>
      <x:c r="D298" s="17" t="str">
        <x:v>2026-04-23 18:00:00</x:v>
      </x:c>
      <x:c r="E298" s="17" t="str">
        <x:v>Embraer</x:v>
      </x:c>
      <x:c r="F298" s="17" t="str">
        <x:v>Transporte F300 - indeterminado</x:v>
      </x:c>
      <x:c r="G298" s="17" t="str">
        <x:v>Concluído</x:v>
      </x:c>
      <x:c r="H298" s="17" t="str">
        <x:v>Pago</x:v>
      </x:c>
      <x:c r="I298" s="21" t="n">
        <x:v>179.64</x:v>
      </x:c>
    </x:row>
    <x:row r="299" ht="15" hidden="0" customHeight="1">
      <x:c r="A299" s="17" t="n">
        <x:v>299</x:v>
      </x:c>
      <x:c r="B299" s="17" t="str">
        <x:v>OP-1068</x:v>
      </x:c>
      <x:c r="C299" s="17" t="str">
        <x:v>OS-4383</x:v>
      </x:c>
      <x:c r="D299" s="17" t="str">
        <x:v>2026-04-23 18:00:00</x:v>
      </x:c>
      <x:c r="E299" s="17" t="str">
        <x:v>Johnson&amp;Johnson</x:v>
      </x:c>
      <x:c r="F299" s="17" t="str">
        <x:v>Gerardo Vargas - indeterminado</x:v>
      </x:c>
      <x:c r="G299" s="17" t="str">
        <x:v>Concluído</x:v>
      </x:c>
      <x:c r="H299" s="17" t="str">
        <x:v>Pago</x:v>
      </x:c>
      <x:c r="I299" s="21" t="n">
        <x:v>670.63</x:v>
      </x:c>
    </x:row>
    <x:row r="300" ht="15" hidden="0" customHeight="1">
      <x:c r="A300" s="17" t="n">
        <x:v>300</x:v>
      </x:c>
      <x:c r="B300" s="17" t="str">
        <x:v>OP-1083</x:v>
      </x:c>
      <x:c r="C300" s="17" t="str">
        <x:v>OS-4488</x:v>
      </x:c>
      <x:c r="D300" s="17" t="str">
        <x:v>2026-04-23 20:30:00</x:v>
      </x:c>
      <x:c r="E300" s="17" t="str">
        <x:v>Johnson&amp;Johnson</x:v>
      </x:c>
      <x:c r="F300" s="17" t="str">
        <x:v>Estefania Moreno - indeterminado</x:v>
      </x:c>
      <x:c r="G300" s="17" t="str">
        <x:v>Concluído</x:v>
      </x:c>
      <x:c r="H300" s="17" t="str">
        <x:v>Pago</x:v>
      </x:c>
      <x:c r="I300" s="21" t="n">
        <x:v>713.56</x:v>
      </x:c>
    </x:row>
    <x:row r="301" ht="15" hidden="0" customHeight="1">
      <x:c r="A301" s="17" t="n">
        <x:v>301</x:v>
      </x:c>
      <x:c r="B301" s="17" t="str">
        <x:v>OP-1219</x:v>
      </x:c>
      <x:c r="C301" s="17" t="str">
        <x:v>OS-4523</x:v>
      </x:c>
      <x:c r="D301" s="17" t="str">
        <x:v>2026-04-23 20:45:00</x:v>
      </x:c>
      <x:c r="E301" s="17" t="str">
        <x:v>Embraer</x:v>
      </x:c>
      <x:c r="F301" s="17" t="str">
        <x:v>Transporte F300 - indeterminado</x:v>
      </x:c>
      <x:c r="G301" s="17" t="str">
        <x:v>Confirmado</x:v>
      </x:c>
      <x:c r="H301" s="17" t="str">
        <x:v>Pago</x:v>
      </x:c>
      <x:c r="I301" s="21" t="n">
        <x:v>179.64</x:v>
      </x:c>
    </x:row>
    <x:row r="302" ht="24" hidden="0" customHeight="1">
      <x:c r="A302" s="17" t="n">
        <x:v>302</x:v>
      </x:c>
      <x:c r="B302" s="17" t="str">
        <x:v>OP-1219</x:v>
      </x:c>
      <x:c r="C302" s="17" t="str">
        <x:v>OS-4494</x:v>
      </x:c>
      <x:c r="D302" s="17" t="str">
        <x:v>2026-04-23 21:00:00</x:v>
      </x:c>
      <x:c r="E302" s="17" t="str">
        <x:v>Embraer</x:v>
      </x:c>
      <x:c r="F302" s="17" t="str">
        <x:v>GABRIELA CRISTINA ANDRADE MARCIANO - (12) 99124-5228;
ANA LUISA VIEIRA ALMEIDA - (35) 99162-6884</x:v>
      </x:c>
      <x:c r="G302" s="17" t="str">
        <x:v>Concluído</x:v>
      </x:c>
      <x:c r="H302" s="17" t="str">
        <x:v>Pago</x:v>
      </x:c>
      <x:c r="I302" s="21" t="n">
        <x:v>307.08</x:v>
      </x:c>
    </x:row>
    <x:row r="303" ht="15" hidden="0" customHeight="1">
      <x:c r="A303" s="17" t="n">
        <x:v>303</x:v>
      </x:c>
      <x:c r="B303" s="17" t="str">
        <x:v>OP-1219</x:v>
      </x:c>
      <x:c r="C303" s="17" t="str">
        <x:v>OS-4495</x:v>
      </x:c>
      <x:c r="D303" s="17" t="str">
        <x:v>2026-04-24 04:50:00</x:v>
      </x:c>
      <x:c r="E303" s="17" t="str">
        <x:v>Embraer</x:v>
      </x:c>
      <x:c r="F303" s="17" t="str">
        <x:v>ALEXSANDRO SILVA CAMPOS - (19) 99616-3541</x:v>
      </x:c>
      <x:c r="G303" s="17" t="str">
        <x:v>Concluído</x:v>
      </x:c>
      <x:c r="H303" s="17" t="str">
        <x:v>Pago</x:v>
      </x:c>
      <x:c r="I303" s="21" t="n">
        <x:v>1059.08</x:v>
      </x:c>
    </x:row>
    <x:row r="304" ht="15" hidden="0" customHeight="1">
      <x:c r="A304" s="17" t="n">
        <x:v>304</x:v>
      </x:c>
      <x:c r="B304" s="17" t="str">
        <x:v>OP-1067</x:v>
      </x:c>
      <x:c r="C304" s="17" t="str">
        <x:v>OS-4285</x:v>
      </x:c>
      <x:c r="D304" s="17" t="str">
        <x:v>2026-04-24 05:30:00</x:v>
      </x:c>
      <x:c r="E304" s="17" t="str">
        <x:v>Kenvue</x:v>
      </x:c>
      <x:c r="F304" s="17" t="str">
        <x:v>Simone Franco - +55 11 94521 4747</x:v>
      </x:c>
      <x:c r="G304" s="17" t="str">
        <x:v>Concluído</x:v>
      </x:c>
      <x:c r="H304" s="17" t="str">
        <x:v>Pago</x:v>
      </x:c>
      <x:c r="I304" s="21" t="n">
        <x:v>1085.25</x:v>
      </x:c>
    </x:row>
    <x:row r="305" ht="15" hidden="0" customHeight="1">
      <x:c r="A305" s="17" t="n">
        <x:v>305</x:v>
      </x:c>
      <x:c r="B305" s="17" t="str">
        <x:v>OP-1079</x:v>
      </x:c>
      <x:c r="C305" s="17" t="str">
        <x:v>OS-4261</x:v>
      </x:c>
      <x:c r="D305" s="17" t="str">
        <x:v>2026-04-24 06:55:00</x:v>
      </x:c>
      <x:c r="E305" s="17" t="str">
        <x:v>Johnson&amp;Johnson</x:v>
      </x:c>
      <x:c r="F305" s="17" t="str">
        <x:v>Thiago Alves - 12 99136-3072</x:v>
      </x:c>
      <x:c r="G305" s="17" t="str">
        <x:v>Concluído</x:v>
      </x:c>
      <x:c r="H305" s="17" t="str">
        <x:v>Pago</x:v>
      </x:c>
      <x:c r="I305" s="21" t="n">
        <x:v>509.98</x:v>
      </x:c>
    </x:row>
    <x:row r="306" ht="15" hidden="0" customHeight="1">
      <x:c r="A306" s="17" t="n">
        <x:v>306</x:v>
      </x:c>
      <x:c r="B306" s="17" t="str">
        <x:v>OP-1068</x:v>
      </x:c>
      <x:c r="C306" s="17" t="str">
        <x:v>OS-4384</x:v>
      </x:c>
      <x:c r="D306" s="17" t="str">
        <x:v>2026-04-24 07:00:00</x:v>
      </x:c>
      <x:c r="E306" s="17" t="str">
        <x:v>Johnson&amp;Johnson</x:v>
      </x:c>
      <x:c r="F306" s="17" t="str">
        <x:v>Gerardo Vargas - indeterminado</x:v>
      </x:c>
      <x:c r="G306" s="17" t="str">
        <x:v>Concluído</x:v>
      </x:c>
      <x:c r="H306" s="17" t="str">
        <x:v>Pago</x:v>
      </x:c>
      <x:c r="I306" s="21" t="n">
        <x:v>1703.76</x:v>
      </x:c>
    </x:row>
    <x:row r="307" ht="36" hidden="0" customHeight="1">
      <x:c r="A307" s="17" t="n">
        <x:v>307</x:v>
      </x:c>
      <x:c r="B307" s="17" t="str">
        <x:v>OP-1083</x:v>
      </x:c>
      <x:c r="C307" s="17" t="str">
        <x:v>OS-4505</x:v>
      </x:c>
      <x:c r="D307" s="17" t="str">
        <x:v>2026-04-24 08:30:00</x:v>
      </x:c>
      <x:c r="E307" s="17" t="str">
        <x:v>Johnson&amp;Johnson</x:v>
      </x:c>
      <x:c r="F307" s="17" t="str">
        <x:v>Joe Bonnano - indeterminado;
Tara O'Brien - indeterminado;
Stéphan Portha - indeterminado</x:v>
      </x:c>
      <x:c r="G307" s="17" t="str">
        <x:v>Concluído</x:v>
      </x:c>
      <x:c r="H307" s="17" t="str">
        <x:v>Pago</x:v>
      </x:c>
      <x:c r="I307" s="21" t="n">
        <x:v>173.51</x:v>
      </x:c>
    </x:row>
    <x:row r="308" ht="15" hidden="0" customHeight="1">
      <x:c r="A308" s="17" t="n">
        <x:v>308</x:v>
      </x:c>
      <x:c r="B308" s="17" t="str">
        <x:v>OP-1219</x:v>
      </x:c>
      <x:c r="C308" s="17" t="str">
        <x:v>OS-4527</x:v>
      </x:c>
      <x:c r="D308" s="17" t="str">
        <x:v>2026-04-24 08:30:00</x:v>
      </x:c>
      <x:c r="E308" s="17" t="str">
        <x:v>Embraer</x:v>
      </x:c>
      <x:c r="F308" s="17" t="str">
        <x:v>Transporte F300 - indeterminado</x:v>
      </x:c>
      <x:c r="G308" s="17" t="str">
        <x:v>Concluído</x:v>
      </x:c>
      <x:c r="H308" s="17" t="str">
        <x:v>Pago</x:v>
      </x:c>
      <x:c r="I308" s="21" t="n">
        <x:v>179.64</x:v>
      </x:c>
    </x:row>
    <x:row r="309" ht="15" hidden="0" customHeight="1">
      <x:c r="A309" s="17" t="n">
        <x:v>309</x:v>
      </x:c>
      <x:c r="B309" s="17" t="str">
        <x:v>OP-1081</x:v>
      </x:c>
      <x:c r="C309" s="17" t="str">
        <x:v>OS-4504</x:v>
      </x:c>
      <x:c r="D309" s="17" t="str">
        <x:v>2026-04-24 14:00:00</x:v>
      </x:c>
      <x:c r="E309" s="17" t="str">
        <x:v>Particular</x:v>
      </x:c>
      <x:c r="F309" s="17" t="str">
        <x:v>Alvadi Serpa Junior - +1 (321) 844-1032</x:v>
      </x:c>
      <x:c r="G309" s="17" t="str">
        <x:v>Concluído</x:v>
      </x:c>
      <x:c r="H309" s="17" t="str">
        <x:v>Pago</x:v>
      </x:c>
      <x:c r="I309" s="21" t="n">
        <x:v>1073</x:v>
      </x:c>
    </x:row>
    <x:row r="310" ht="24" hidden="0" customHeight="1">
      <x:c r="A310" s="17" t="n">
        <x:v>310</x:v>
      </x:c>
      <x:c r="B310" s="17" t="str">
        <x:v>OP-1083</x:v>
      </x:c>
      <x:c r="C310" s="17" t="str">
        <x:v>OS-4509</x:v>
      </x:c>
      <x:c r="D310" s="17" t="str">
        <x:v>2026-04-24 14:00:00</x:v>
      </x:c>
      <x:c r="E310" s="17" t="str">
        <x:v>Johnson&amp;Johnson</x:v>
      </x:c>
      <x:c r="F310" s="17" t="str">
        <x:v>Tara O'Brien - indeterminado;
Joe Bonnano - indeterminado</x:v>
      </x:c>
      <x:c r="G310" s="17" t="str">
        <x:v>Concluído</x:v>
      </x:c>
      <x:c r="H310" s="17" t="str">
        <x:v>Pago</x:v>
      </x:c>
      <x:c r="I310" s="21" t="n">
        <x:v>769.77</x:v>
      </x:c>
    </x:row>
    <x:row r="311" ht="15" hidden="0" customHeight="1">
      <x:c r="A311" s="17" t="n">
        <x:v>311</x:v>
      </x:c>
      <x:c r="B311" s="17" t="str">
        <x:v>OP-1083</x:v>
      </x:c>
      <x:c r="C311" s="17" t="str">
        <x:v>OS-4507</x:v>
      </x:c>
      <x:c r="D311" s="17" t="str">
        <x:v>2026-04-24 15:00:00</x:v>
      </x:c>
      <x:c r="E311" s="17" t="str">
        <x:v>Johnson&amp;Johnson</x:v>
      </x:c>
      <x:c r="F311" s="17" t="str">
        <x:v>Tara O'Brien - indeterminado</x:v>
      </x:c>
      <x:c r="G311" s="17" t="str">
        <x:v>Cancelado</x:v>
      </x:c>
      <x:c r="H311" s="17" t="str">
        <x:v>Cancelado Sem Taxa</x:v>
      </x:c>
      <x:c r="I311" s="21" t="n">
        <x:v>0</x:v>
      </x:c>
    </x:row>
    <x:row r="312" ht="15" hidden="0" customHeight="1">
      <x:c r="A312" s="17" t="n">
        <x:v>312</x:v>
      </x:c>
      <x:c r="B312" s="17" t="str">
        <x:v>OP-1097</x:v>
      </x:c>
      <x:c r="C312" s="17" t="str">
        <x:v>OS-4510</x:v>
      </x:c>
      <x:c r="D312" s="17" t="str">
        <x:v>2026-04-24 16:30:00</x:v>
      </x:c>
      <x:c r="E312" s="17" t="str">
        <x:v>Johnson&amp;Johnson</x:v>
      </x:c>
      <x:c r="F312" s="17" t="str">
        <x:v>Gustavo Militão - +55 12 99147-2119</x:v>
      </x:c>
      <x:c r="G312" s="17" t="str">
        <x:v>Concluído</x:v>
      </x:c>
      <x:c r="H312" s="17" t="str">
        <x:v>Pago</x:v>
      </x:c>
      <x:c r="I312" s="21" t="n">
        <x:v>491.86</x:v>
      </x:c>
    </x:row>
    <x:row r="313" ht="15" hidden="0" customHeight="1">
      <x:c r="A313" s="17" t="n">
        <x:v>313</x:v>
      </x:c>
      <x:c r="B313" s="17" t="str">
        <x:v>OP-1083</x:v>
      </x:c>
      <x:c r="C313" s="17" t="str">
        <x:v>OS-4506</x:v>
      </x:c>
      <x:c r="D313" s="17" t="str">
        <x:v>2026-04-24 18:00:00</x:v>
      </x:c>
      <x:c r="E313" s="17" t="str">
        <x:v>Johnson&amp;Johnson</x:v>
      </x:c>
      <x:c r="F313" s="17" t="str">
        <x:v>Stéphan Portha - indeterminado</x:v>
      </x:c>
      <x:c r="G313" s="17" t="str">
        <x:v>Concluído</x:v>
      </x:c>
      <x:c r="H313" s="17" t="str">
        <x:v>Pago</x:v>
      </x:c>
      <x:c r="I313" s="21" t="n">
        <x:v>545.86</x:v>
      </x:c>
    </x:row>
    <x:row r="314" ht="15" hidden="0" customHeight="1">
      <x:c r="A314" s="17" t="n">
        <x:v>314</x:v>
      </x:c>
      <x:c r="B314" s="17" t="str">
        <x:v>OP-1078</x:v>
      </x:c>
      <x:c r="C314" s="17" t="str">
        <x:v>OS-4351</x:v>
      </x:c>
      <x:c r="D314" s="17" t="str">
        <x:v>2026-04-24 20:50:00</x:v>
      </x:c>
      <x:c r="E314" s="17" t="str">
        <x:v>Johnson&amp;Johnson</x:v>
      </x:c>
      <x:c r="F314" s="17" t="str">
        <x:v>Adriana Cristina Costa - (12) 99793-1099</x:v>
      </x:c>
      <x:c r="G314" s="17" t="str">
        <x:v>Concluído</x:v>
      </x:c>
      <x:c r="H314" s="17" t="str">
        <x:v>Pago</x:v>
      </x:c>
      <x:c r="I314" s="21" t="n">
        <x:v>509.98</x:v>
      </x:c>
    </x:row>
    <x:row r="315" ht="15" hidden="0" customHeight="1">
      <x:c r="A315" s="17" t="n">
        <x:v>315</x:v>
      </x:c>
      <x:c r="B315" s="17" t="str">
        <x:v>OP-1119</x:v>
      </x:c>
      <x:c r="C315" s="17" t="str">
        <x:v>OS-4551</x:v>
      </x:c>
      <x:c r="D315" s="17" t="str">
        <x:v>2026-04-25 04:00:00</x:v>
      </x:c>
      <x:c r="E315" s="17" t="str">
        <x:v>Kenvue</x:v>
      </x:c>
      <x:c r="F315" s="17" t="str">
        <x:v>Jeison Souza - indeterminado</x:v>
      </x:c>
      <x:c r="G315" s="17" t="str">
        <x:v>Concluído</x:v>
      </x:c>
      <x:c r="H315" s="17" t="str">
        <x:v>Pago</x:v>
      </x:c>
      <x:c r="I315" s="21" t="n">
        <x:v>2590</x:v>
      </x:c>
    </x:row>
    <x:row r="316" ht="15" hidden="0" customHeight="1">
      <x:c r="A316" s="17" t="n">
        <x:v>316</x:v>
      </x:c>
      <x:c r="B316" s="17" t="str">
        <x:v>OP-1219</x:v>
      </x:c>
      <x:c r="C316" s="17" t="str">
        <x:v>OS-4528</x:v>
      </x:c>
      <x:c r="D316" s="17" t="str">
        <x:v>2026-04-25 05:30:00</x:v>
      </x:c>
      <x:c r="E316" s="17" t="str">
        <x:v>Embraer</x:v>
      </x:c>
      <x:c r="F316" s="17" t="str">
        <x:v>Marco Ferrares - (43)6768-5462</x:v>
      </x:c>
      <x:c r="G316" s="17" t="str">
        <x:v>Concluído</x:v>
      </x:c>
      <x:c r="H316" s="17" t="str">
        <x:v>Pago</x:v>
      </x:c>
      <x:c r="I316" s="21" t="n">
        <x:v>464.1</x:v>
      </x:c>
    </x:row>
    <x:row r="317" ht="15" hidden="0" customHeight="1">
      <x:c r="A317" s="17" t="n">
        <x:v>317</x:v>
      </x:c>
      <x:c r="B317" s="17" t="str">
        <x:v>OP-1073</x:v>
      </x:c>
      <x:c r="C317" s="17" t="str">
        <x:v>OS-4005</x:v>
      </x:c>
      <x:c r="D317" s="17" t="str">
        <x:v>2026-04-25 05:30:00</x:v>
      </x:c>
      <x:c r="E317" s="17" t="str">
        <x:v>Kenvue</x:v>
      </x:c>
      <x:c r="F317" s="17" t="str">
        <x:v>Viviane Braga Alves Prado - 12 99739-1484 / 99139-9710</x:v>
      </x:c>
      <x:c r="G317" s="17" t="str">
        <x:v>Concluído</x:v>
      </x:c>
      <x:c r="H317" s="17" t="str">
        <x:v>Pago</x:v>
      </x:c>
      <x:c r="I317" s="21" t="n">
        <x:v>509.98</x:v>
      </x:c>
    </x:row>
    <x:row r="318" ht="15" hidden="0" customHeight="1">
      <x:c r="A318" s="17" t="n">
        <x:v>318</x:v>
      </x:c>
      <x:c r="B318" s="17" t="str">
        <x:v>OP-1122</x:v>
      </x:c>
      <x:c r="C318" s="17" t="str">
        <x:v>OS-4535</x:v>
      </x:c>
      <x:c r="D318" s="17" t="str">
        <x:v>2026-04-25 05:45:00</x:v>
      </x:c>
      <x:c r="E318" s="17" t="str">
        <x:v>Ricoh LATAM</x:v>
      </x:c>
      <x:c r="F318" s="17" t="str">
        <x:v>Jessica Muciño Chavez - indeterminado</x:v>
      </x:c>
      <x:c r="G318" s="17" t="str">
        <x:v>Concluído</x:v>
      </x:c>
      <x:c r="H318" s="17" t="str">
        <x:v>Pago</x:v>
      </x:c>
      <x:c r="I318" s="21" t="n">
        <x:v>413</x:v>
      </x:c>
    </x:row>
    <x:row r="319" ht="15" hidden="0" customHeight="1">
      <x:c r="A319" s="17" t="n">
        <x:v>319</x:v>
      </x:c>
      <x:c r="B319" s="17" t="str">
        <x:v>OP-1219</x:v>
      </x:c>
      <x:c r="C319" s="17" t="str">
        <x:v>OS-4548</x:v>
      </x:c>
      <x:c r="D319" s="17" t="str">
        <x:v>2026-04-25 06:00:00</x:v>
      </x:c>
      <x:c r="E319" s="17" t="str">
        <x:v>Embraer</x:v>
      </x:c>
      <x:c r="F319" s="17" t="str">
        <x:v>YGOR SILVESTRE COUTINHO NOGUEIRA - (12) 99735-7171</x:v>
      </x:c>
      <x:c r="G319" s="17" t="str">
        <x:v>Concluído</x:v>
      </x:c>
      <x:c r="H319" s="17" t="str">
        <x:v>Composição Realizada</x:v>
      </x:c>
      <x:c r="I319" s="21" t="n">
        <x:v>0</x:v>
      </x:c>
    </x:row>
    <x:row r="320" ht="15" hidden="0" customHeight="1">
      <x:c r="A320" s="17" t="n">
        <x:v>320</x:v>
      </x:c>
      <x:c r="B320" s="17" t="str">
        <x:v>OP-1077</x:v>
      </x:c>
      <x:c r="C320" s="17" t="str">
        <x:v>9341</x:v>
      </x:c>
      <x:c r="D320" s="17" t="str">
        <x:v>2026-04-25 08:00:00</x:v>
      </x:c>
      <x:c r="E320" s="17" t="str">
        <x:v>Johnson&amp;Johnson</x:v>
      </x:c>
      <x:c r="F320" s="17" t="str">
        <x:v>Paula Medici  - +55 12 98195-0491</x:v>
      </x:c>
      <x:c r="G320" s="17" t="str">
        <x:v>Concluído</x:v>
      </x:c>
      <x:c r="H320" s="17" t="str">
        <x:v>Pago</x:v>
      </x:c>
      <x:c r="I320" s="21" t="n">
        <x:v>558.86</x:v>
      </x:c>
    </x:row>
    <x:row r="321" ht="24" hidden="0" customHeight="1">
      <x:c r="A321" s="17" t="n">
        <x:v>321</x:v>
      </x:c>
      <x:c r="B321" s="17" t="str">
        <x:v>OP-1219</x:v>
      </x:c>
      <x:c r="C321" s="17" t="str">
        <x:v>OS-4529</x:v>
      </x:c>
      <x:c r="D321" s="17" t="str">
        <x:v>2026-04-25 09:00:00</x:v>
      </x:c>
      <x:c r="E321" s="17" t="str">
        <x:v>Embraer</x:v>
      </x:c>
      <x:c r="F321" s="17" t="str">
        <x:v>LUIZ RICARDO YUAN - (12) 98162-2069;
RICARDO FERREIRA BOTELHO - (61) 99669-0707</x:v>
      </x:c>
      <x:c r="G321" s="17" t="str">
        <x:v>Concluído</x:v>
      </x:c>
      <x:c r="H321" s="17" t="str">
        <x:v>Pago</x:v>
      </x:c>
      <x:c r="I321" s="21" t="n">
        <x:v>502.89</x:v>
      </x:c>
    </x:row>
    <x:row r="322" ht="15" hidden="0" customHeight="1">
      <x:c r="A322" s="17" t="n">
        <x:v>322</x:v>
      </x:c>
      <x:c r="B322" s="17" t="str">
        <x:v>OP-1119</x:v>
      </x:c>
      <x:c r="C322" s="17" t="str">
        <x:v>OS-4552</x:v>
      </x:c>
      <x:c r="D322" s="17" t="str">
        <x:v>2026-04-25 12:00:00</x:v>
      </x:c>
      <x:c r="E322" s="17" t="str">
        <x:v>Kenvue</x:v>
      </x:c>
      <x:c r="F322" s="17" t="str">
        <x:v>Jeison Souza - indeterminado</x:v>
      </x:c>
      <x:c r="G322" s="17" t="str">
        <x:v>Concluído</x:v>
      </x:c>
      <x:c r="H322" s="17" t="str">
        <x:v>Pago</x:v>
      </x:c>
      <x:c r="I322" s="21" t="n">
        <x:v>2590</x:v>
      </x:c>
    </x:row>
    <x:row r="323" ht="15" hidden="0" customHeight="1">
      <x:c r="A323" s="17" t="n">
        <x:v>323</x:v>
      </x:c>
      <x:c r="B323" s="17" t="str">
        <x:v>OP-1094</x:v>
      </x:c>
      <x:c r="C323" s="17" t="str">
        <x:v>OS-4461</x:v>
      </x:c>
      <x:c r="D323" s="17" t="str">
        <x:v>2026-04-25 14:00:00</x:v>
      </x:c>
      <x:c r="E323" s="17" t="str">
        <x:v>Boeing</x:v>
      </x:c>
      <x:c r="F323" s="17" t="str">
        <x:v>Mario Henrique Voigt Stumpf - +55 12 98112-8849</x:v>
      </x:c>
      <x:c r="G323" s="17" t="str">
        <x:v>Concluído</x:v>
      </x:c>
      <x:c r="H323" s="17" t="str">
        <x:v>Pago</x:v>
      </x:c>
      <x:c r="I323" s="21" t="n">
        <x:v>396.05</x:v>
      </x:c>
    </x:row>
    <x:row r="324" ht="15" hidden="0" customHeight="1">
      <x:c r="A324" s="17" t="n">
        <x:v>324</x:v>
      </x:c>
      <x:c r="B324" s="17" t="str">
        <x:v>OP-1219</x:v>
      </x:c>
      <x:c r="C324" s="17" t="str">
        <x:v>OS-4544</x:v>
      </x:c>
      <x:c r="D324" s="17" t="str">
        <x:v>2026-04-25 16:00:00</x:v>
      </x:c>
      <x:c r="E324" s="17" t="str">
        <x:v>Embraer</x:v>
      </x:c>
      <x:c r="F324" s="17" t="str">
        <x:v>Transporte F300 - indeterminado</x:v>
      </x:c>
      <x:c r="G324" s="17" t="str">
        <x:v>Confirmado</x:v>
      </x:c>
      <x:c r="H324" s="17" t="str">
        <x:v>Pago</x:v>
      </x:c>
      <x:c r="I324" s="21" t="n">
        <x:v>179.64</x:v>
      </x:c>
    </x:row>
    <x:row r="325" ht="15" hidden="0" customHeight="1">
      <x:c r="A325" s="17" t="n">
        <x:v>325</x:v>
      </x:c>
      <x:c r="B325" s="17" t="str">
        <x:v>OP-1219</x:v>
      </x:c>
      <x:c r="C325" s="17" t="str">
        <x:v>OS-4530</x:v>
      </x:c>
      <x:c r="D325" s="17" t="str">
        <x:v>2026-04-25 17:00:00</x:v>
      </x:c>
      <x:c r="E325" s="17" t="str">
        <x:v>Embraer</x:v>
      </x:c>
      <x:c r="F325" s="17" t="str">
        <x:v>JEFFERSON DIAS - (12) 98109-0908</x:v>
      </x:c>
      <x:c r="G325" s="17" t="str">
        <x:v>Concluído</x:v>
      </x:c>
      <x:c r="H325" s="17" t="str">
        <x:v>Pago</x:v>
      </x:c>
      <x:c r="I325" s="21" t="n">
        <x:v>397.1</x:v>
      </x:c>
    </x:row>
    <x:row r="326" ht="15" hidden="0" customHeight="1">
      <x:c r="A326" s="17" t="n">
        <x:v>326</x:v>
      </x:c>
      <x:c r="B326" s="17" t="str">
        <x:v>OP-1111</x:v>
      </x:c>
      <x:c r="C326" s="17" t="str">
        <x:v>OS-4553</x:v>
      </x:c>
      <x:c r="D326" s="17" t="str">
        <x:v>2026-04-25 17:30:00</x:v>
      </x:c>
      <x:c r="E326" s="17" t="str">
        <x:v>Boeing</x:v>
      </x:c>
      <x:c r="F326" s="17" t="str">
        <x:v>Fabio Truffa - indeterminado</x:v>
      </x:c>
      <x:c r="G326" s="17" t="str">
        <x:v>Concluído</x:v>
      </x:c>
      <x:c r="H326" s="17" t="str">
        <x:v>Pago</x:v>
      </x:c>
      <x:c r="I326" s="21" t="n">
        <x:v>396.05</x:v>
      </x:c>
    </x:row>
    <x:row r="327" ht="15" hidden="0" customHeight="1">
      <x:c r="A327" s="17" t="n">
        <x:v>327</x:v>
      </x:c>
      <x:c r="B327" s="17" t="str">
        <x:v>OP-1113</x:v>
      </x:c>
      <x:c r="C327" s="17" t="str">
        <x:v>OS-4325</x:v>
      </x:c>
      <x:c r="D327" s="17" t="str">
        <x:v>2026-04-25 18:00:00</x:v>
      </x:c>
      <x:c r="E327" s="17" t="str">
        <x:v>Boeing</x:v>
      </x:c>
      <x:c r="F327" s="17" t="str">
        <x:v>Raphaella Fusita Bernardini - (11)98248-8982</x:v>
      </x:c>
      <x:c r="G327" s="17" t="str">
        <x:v>Concluído</x:v>
      </x:c>
      <x:c r="H327" s="17" t="str">
        <x:v>Pago</x:v>
      </x:c>
      <x:c r="I327" s="21" t="n">
        <x:v>396.05</x:v>
      </x:c>
    </x:row>
    <x:row r="328" ht="15" hidden="0" customHeight="1">
      <x:c r="A328" s="17" t="n">
        <x:v>328</x:v>
      </x:c>
      <x:c r="B328" s="17" t="str">
        <x:v>OP-1127</x:v>
      </x:c>
      <x:c r="C328" s="17" t="str">
        <x:v>OS-4550</x:v>
      </x:c>
      <x:c r="D328" s="17" t="str">
        <x:v>2026-04-25 18:00:00</x:v>
      </x:c>
      <x:c r="E328" s="17" t="str">
        <x:v>Boeing</x:v>
      </x:c>
      <x:c r="F328" s="17" t="str">
        <x:v>Carlos Mourao - 12 981132570</x:v>
      </x:c>
      <x:c r="G328" s="17" t="str">
        <x:v>Concluído</x:v>
      </x:c>
      <x:c r="H328" s="17" t="str">
        <x:v>Pago</x:v>
      </x:c>
      <x:c r="I328" s="21" t="n">
        <x:v>396.05</x:v>
      </x:c>
    </x:row>
    <x:row r="329" ht="15" hidden="0" customHeight="1">
      <x:c r="A329" s="17" t="n">
        <x:v>329</x:v>
      </x:c>
      <x:c r="B329" s="17" t="str">
        <x:v>OP-1092</x:v>
      </x:c>
      <x:c r="C329" s="17" t="str">
        <x:v>OS-4559</x:v>
      </x:c>
      <x:c r="D329" s="17" t="str">
        <x:v>2026-04-26 06:45:00</x:v>
      </x:c>
      <x:c r="E329" s="17" t="str">
        <x:v>Johnson&amp;Johnson</x:v>
      </x:c>
      <x:c r="F329" s="17" t="str">
        <x:v>Wei Lu (Alex) - indeterminado</x:v>
      </x:c>
      <x:c r="G329" s="17" t="str">
        <x:v>Concluído</x:v>
      </x:c>
      <x:c r="H329" s="17" t="str">
        <x:v>Pago</x:v>
      </x:c>
      <x:c r="I329" s="21" t="n">
        <x:v>1117.43</x:v>
      </x:c>
    </x:row>
    <x:row r="330" ht="15" hidden="0" customHeight="1">
      <x:c r="A330" s="17" t="n">
        <x:v>330</x:v>
      </x:c>
      <x:c r="B330" s="17" t="str">
        <x:v>OP-1095</x:v>
      </x:c>
      <x:c r="C330" s="17" t="str">
        <x:v>OS-4537</x:v>
      </x:c>
      <x:c r="D330" s="17" t="str">
        <x:v>2026-04-26 07:00:00</x:v>
      </x:c>
      <x:c r="E330" s="17" t="str">
        <x:v>Particular</x:v>
      </x:c>
      <x:c r="F330" s="17" t="str">
        <x:v>Mariana de Souza Bittencourt de Carvalho  - 12 99758-2917</x:v>
      </x:c>
      <x:c r="G330" s="17" t="str">
        <x:v>Concluído</x:v>
      </x:c>
      <x:c r="H330" s="17" t="str">
        <x:v>Pago</x:v>
      </x:c>
      <x:c r="I330" s="21" t="n">
        <x:v>548.33</x:v>
      </x:c>
    </x:row>
    <x:row r="331" ht="15" hidden="0" customHeight="1">
      <x:c r="A331" s="17" t="n">
        <x:v>331</x:v>
      </x:c>
      <x:c r="B331" s="17" t="str">
        <x:v>OP-1074</x:v>
      </x:c>
      <x:c r="C331" s="17" t="str">
        <x:v>OS-4563</x:v>
      </x:c>
      <x:c r="D331" s="17" t="str">
        <x:v>2026-04-26 09:00:00</x:v>
      </x:c>
      <x:c r="E331" s="17" t="str">
        <x:v>Boeing</x:v>
      </x:c>
      <x:c r="F331" s="17" t="str">
        <x:v>Fernanda Silvestre - +55 12 99204-5635</x:v>
      </x:c>
      <x:c r="G331" s="17" t="str">
        <x:v>Concluído</x:v>
      </x:c>
      <x:c r="H331" s="17" t="str">
        <x:v>Pago</x:v>
      </x:c>
      <x:c r="I331" s="21" t="n">
        <x:v>463.05</x:v>
      </x:c>
    </x:row>
    <x:row r="332" ht="15" hidden="0" customHeight="1">
      <x:c r="A332" s="17" t="n">
        <x:v>332</x:v>
      </x:c>
      <x:c r="B332" s="17" t="str">
        <x:v>OP-1219</x:v>
      </x:c>
      <x:c r="C332" s="17" t="str">
        <x:v>OS-4532</x:v>
      </x:c>
      <x:c r="D332" s="17" t="str">
        <x:v>2026-04-26 18:00:00</x:v>
      </x:c>
      <x:c r="E332" s="17" t="str">
        <x:v>Embraer</x:v>
      </x:c>
      <x:c r="F332" s="17" t="str">
        <x:v>DEBORAH DE CAMPOS PAULA DOS SANTOS - (12) 99787-5069</x:v>
      </x:c>
      <x:c r="G332" s="17" t="str">
        <x:v>Concluído</x:v>
      </x:c>
      <x:c r="H332" s="17" t="str">
        <x:v>Pago</x:v>
      </x:c>
      <x:c r="I332" s="21" t="n">
        <x:v>1935.78</x:v>
      </x:c>
    </x:row>
    <x:row r="333" ht="15" hidden="0" customHeight="1">
      <x:c r="A333" s="17" t="n">
        <x:v>333</x:v>
      </x:c>
      <x:c r="B333" s="17" t="str">
        <x:v>OP-1092</x:v>
      </x:c>
      <x:c r="C333" s="17" t="str">
        <x:v>OS-4560</x:v>
      </x:c>
      <x:c r="D333" s="17" t="str">
        <x:v>2026-04-26 18:30:00</x:v>
      </x:c>
      <x:c r="E333" s="17" t="str">
        <x:v>Johnson&amp;Johnson</x:v>
      </x:c>
      <x:c r="F333" s="17" t="str">
        <x:v>Christoph Gibson - indeterminado</x:v>
      </x:c>
      <x:c r="G333" s="17" t="str">
        <x:v>Concluído</x:v>
      </x:c>
      <x:c r="H333" s="17" t="str">
        <x:v>Pago</x:v>
      </x:c>
      <x:c r="I333" s="21" t="n">
        <x:v>1117.43</x:v>
      </x:c>
    </x:row>
    <x:row r="334" ht="15" hidden="0" customHeight="1">
      <x:c r="A334" s="17" t="n">
        <x:v>334</x:v>
      </x:c>
      <x:c r="B334" s="17" t="str">
        <x:v>OP-1083</x:v>
      </x:c>
      <x:c r="C334" s="17" t="str">
        <x:v>OS-4564</x:v>
      </x:c>
      <x:c r="D334" s="17" t="str">
        <x:v>2026-04-26 21:30:00</x:v>
      </x:c>
      <x:c r="E334" s="17" t="str">
        <x:v>Johnson&amp;Johnson</x:v>
      </x:c>
      <x:c r="F334" s="17" t="str">
        <x:v>Joe Bonnano - indeterminado</x:v>
      </x:c>
      <x:c r="G334" s="17" t="str">
        <x:v>Confirmado</x:v>
      </x:c>
      <x:c r="H334" s="17" t="str">
        <x:v>Pago</x:v>
      </x:c>
      <x:c r="I334" s="21" t="n">
        <x:v>713.56</x:v>
      </x:c>
    </x:row>
    <x:row r="335" ht="15" hidden="0" customHeight="1">
      <x:c r="A335" s="17" t="n">
        <x:v>335</x:v>
      </x:c>
      <x:c r="B335" s="17" t="str">
        <x:v>OP-1219</x:v>
      </x:c>
      <x:c r="C335" s="17" t="str">
        <x:v>OS-4572</x:v>
      </x:c>
      <x:c r="D335" s="17" t="str">
        <x:v>2026-04-27 05:00:00</x:v>
      </x:c>
      <x:c r="E335" s="17" t="str">
        <x:v>Embraer</x:v>
      </x:c>
      <x:c r="F335" s="17" t="str">
        <x:v>YLEINE CRISTINA KODEL GARUFE - (12) 98100-7479</x:v>
      </x:c>
      <x:c r="G335" s="17" t="str">
        <x:v>Concluído</x:v>
      </x:c>
      <x:c r="H335" s="17" t="str">
        <x:v>Pago</x:v>
      </x:c>
      <x:c r="I335" s="21" t="n">
        <x:v>464.1</x:v>
      </x:c>
    </x:row>
    <x:row r="336" ht="15" hidden="0" customHeight="1">
      <x:c r="A336" s="17" t="n">
        <x:v>336</x:v>
      </x:c>
      <x:c r="B336" s="17" t="str">
        <x:v>OP-1092</x:v>
      </x:c>
      <x:c r="C336" s="17" t="str">
        <x:v>OS-4568</x:v>
      </x:c>
      <x:c r="D336" s="17" t="str">
        <x:v>2026-04-27 05:25:00</x:v>
      </x:c>
      <x:c r="E336" s="17" t="str">
        <x:v>Johnson&amp;Johnson</x:v>
      </x:c>
      <x:c r="F336" s="17" t="str">
        <x:v>Lynn Xu - indeterminado</x:v>
      </x:c>
      <x:c r="G336" s="17" t="str">
        <x:v>Concluído</x:v>
      </x:c>
      <x:c r="H336" s="17" t="str">
        <x:v>Pago</x:v>
      </x:c>
      <x:c r="I336" s="21" t="n">
        <x:v>1117.43</x:v>
      </x:c>
    </x:row>
    <x:row r="337" ht="15" hidden="0" customHeight="1">
      <x:c r="A337" s="17" t="n">
        <x:v>337</x:v>
      </x:c>
      <x:c r="B337" s="17" t="str">
        <x:v>OP-1219</x:v>
      </x:c>
      <x:c r="C337" s="17" t="str">
        <x:v>OS-4573</x:v>
      </x:c>
      <x:c r="D337" s="17" t="str">
        <x:v>2026-04-27 05:25:00</x:v>
      </x:c>
      <x:c r="E337" s="17" t="str">
        <x:v>Embraer</x:v>
      </x:c>
      <x:c r="F337" s="17" t="str">
        <x:v>Violeta Rivas Jimenez - indeterminado</x:v>
      </x:c>
      <x:c r="G337" s="17" t="str">
        <x:v>Concluído</x:v>
      </x:c>
      <x:c r="H337" s="17" t="str">
        <x:v>Pago</x:v>
      </x:c>
      <x:c r="I337" s="21" t="n">
        <x:v>855.32</x:v>
      </x:c>
    </x:row>
    <x:row r="338" ht="15" hidden="0" customHeight="1">
      <x:c r="A338" s="17" t="n">
        <x:v>338</x:v>
      </x:c>
      <x:c r="B338" s="17" t="str">
        <x:v>OP-1219</x:v>
      </x:c>
      <x:c r="C338" s="17" t="str">
        <x:v>OS-4574</x:v>
      </x:c>
      <x:c r="D338" s="17" t="str">
        <x:v>2026-04-27 05:30:00</x:v>
      </x:c>
      <x:c r="E338" s="17" t="str">
        <x:v>Embraer</x:v>
      </x:c>
      <x:c r="F338" s="17" t="str">
        <x:v>Herman Matip - indeterminado</x:v>
      </x:c>
      <x:c r="G338" s="17" t="str">
        <x:v>Concluído</x:v>
      </x:c>
      <x:c r="H338" s="17" t="str">
        <x:v>Pago</x:v>
      </x:c>
      <x:c r="I338" s="21" t="n">
        <x:v>580.89</x:v>
      </x:c>
    </x:row>
    <x:row r="339" ht="15" hidden="0" customHeight="1">
      <x:c r="A339" s="17" t="n">
        <x:v>339</x:v>
      </x:c>
      <x:c r="B339" s="17" t="str">
        <x:v>OP-1088</x:v>
      </x:c>
      <x:c r="C339" s="17" t="str">
        <x:v>OS-4298</x:v>
      </x:c>
      <x:c r="D339" s="17" t="str">
        <x:v>2026-04-27 05:40:00</x:v>
      </x:c>
      <x:c r="E339" s="17" t="str">
        <x:v>Particular</x:v>
      </x:c>
      <x:c r="F339" s="17" t="str">
        <x:v>Maria de Fátima Garcia - +55 12 98159-9247</x:v>
      </x:c>
      <x:c r="G339" s="17" t="str">
        <x:v>Concluído</x:v>
      </x:c>
      <x:c r="H339" s="17" t="str">
        <x:v>Pago</x:v>
      </x:c>
      <x:c r="I339" s="21" t="n">
        <x:v>615</x:v>
      </x:c>
    </x:row>
    <x:row r="340" ht="36" hidden="0" customHeight="1">
      <x:c r="A340" s="17" t="n">
        <x:v>340</x:v>
      </x:c>
      <x:c r="B340" s="17" t="str">
        <x:v>OP-1124</x:v>
      </x:c>
      <x:c r="C340" s="17" t="str">
        <x:v>OS-4520</x:v>
      </x:c>
      <x:c r="D340" s="17" t="str">
        <x:v>2026-04-27 06:00:00</x:v>
      </x:c>
      <x:c r="E340" s="17" t="str">
        <x:v>BeCooper</x:v>
      </x:c>
      <x:c r="F340" s="17" t="str">
        <x:v>Mariana A. O. Cardoso - +55 12 99192-8982;
Talita Pires Cassiano - 12 988308323;
Beatriz Chinellato - indeterminado</x:v>
      </x:c>
      <x:c r="G340" s="17" t="str">
        <x:v>Concluído</x:v>
      </x:c>
      <x:c r="H340" s="17" t="str">
        <x:v>Pago</x:v>
      </x:c>
      <x:c r="I340" s="21" t="n">
        <x:v>797.5</x:v>
      </x:c>
    </x:row>
    <x:row r="341" ht="15" hidden="0" customHeight="1">
      <x:c r="A341" s="17" t="n">
        <x:v>341</x:v>
      </x:c>
      <x:c r="B341" s="17" t="str">
        <x:v>OP-1090</x:v>
      </x:c>
      <x:c r="C341" s="17" t="str">
        <x:v>9405</x:v>
      </x:c>
      <x:c r="D341" s="17" t="str">
        <x:v>2026-04-27 06:00:00</x:v>
      </x:c>
      <x:c r="E341" s="17" t="str">
        <x:v>Johnson&amp;Johnson</x:v>
      </x:c>
      <x:c r="F341" s="17" t="str">
        <x:v>Beatriz da Rocha Teixeira - +1 325 262 7813  (whatsApp)</x:v>
      </x:c>
      <x:c r="G341" s="17" t="str">
        <x:v>Concluído</x:v>
      </x:c>
      <x:c r="H341" s="17" t="str">
        <x:v>Pago</x:v>
      </x:c>
      <x:c r="I341" s="21" t="n">
        <x:v>669.37</x:v>
      </x:c>
    </x:row>
    <x:row r="342" ht="15" hidden="0" customHeight="1">
      <x:c r="A342" s="17" t="n">
        <x:v>342</x:v>
      </x:c>
      <x:c r="B342" s="17" t="str">
        <x:v>OP-1087</x:v>
      </x:c>
      <x:c r="C342" s="17" t="str">
        <x:v>9242</x:v>
      </x:c>
      <x:c r="D342" s="17" t="str">
        <x:v>2026-04-27 06:40:00</x:v>
      </x:c>
      <x:c r="E342" s="17" t="str">
        <x:v>Particular</x:v>
      </x:c>
      <x:c r="F342" s="17" t="str">
        <x:v>Abe Millet</x:v>
      </x:c>
      <x:c r="G342" s="17" t="str">
        <x:v>Concluído</x:v>
      </x:c>
      <x:c r="H342" s="17" t="str">
        <x:v>Pago</x:v>
      </x:c>
      <x:c r="I342" s="21" t="n">
        <x:v>948.51</x:v>
      </x:c>
    </x:row>
    <x:row r="343" ht="24" hidden="0" customHeight="1">
      <x:c r="A343" s="17" t="n">
        <x:v>343</x:v>
      </x:c>
      <x:c r="B343" s="17" t="str">
        <x:v>OP-1092</x:v>
      </x:c>
      <x:c r="C343" s="17" t="str">
        <x:v>OS-4569</x:v>
      </x:c>
      <x:c r="D343" s="17" t="str">
        <x:v>2026-04-27 06:55:00</x:v>
      </x:c>
      <x:c r="E343" s="17" t="str">
        <x:v>Johnson&amp;Johnson</x:v>
      </x:c>
      <x:c r="F343" s="17" t="str">
        <x:v>Jeffrey Everett - indeterminado;
Padraig Hernon - indeterminado</x:v>
      </x:c>
      <x:c r="G343" s="17" t="str">
        <x:v>Concluído</x:v>
      </x:c>
      <x:c r="H343" s="17" t="str">
        <x:v>Pago</x:v>
      </x:c>
      <x:c r="I343" s="21" t="n">
        <x:v>1117.43</x:v>
      </x:c>
    </x:row>
    <x:row r="344" ht="36" hidden="0" customHeight="1">
      <x:c r="A344" s="17" t="n">
        <x:v>344</x:v>
      </x:c>
      <x:c r="B344" s="17" t="str">
        <x:v>OP-1083</x:v>
      </x:c>
      <x:c r="C344" s="17" t="str">
        <x:v>OS-4565</x:v>
      </x:c>
      <x:c r="D344" s="17" t="str">
        <x:v>2026-04-27 07:30:00</x:v>
      </x:c>
      <x:c r="E344" s="17" t="str">
        <x:v>Johnson&amp;Johnson</x:v>
      </x:c>
      <x:c r="F344" s="17" t="str">
        <x:v>Stéphan Portha - indeterminado;
Joe Bonnano - indeterminado;
Thiago Rolim - +55 12 99106-1255</x:v>
      </x:c>
      <x:c r="G344" s="17" t="str">
        <x:v>Concluído</x:v>
      </x:c>
      <x:c r="H344" s="17" t="str">
        <x:v>Pago</x:v>
      </x:c>
      <x:c r="I344" s="21" t="n">
        <x:v>938.4</x:v>
      </x:c>
    </x:row>
    <x:row r="345" ht="15" hidden="0" customHeight="1">
      <x:c r="A345" s="17" t="n">
        <x:v>345</x:v>
      </x:c>
      <x:c r="B345" s="17" t="str">
        <x:v>OP-1083</x:v>
      </x:c>
      <x:c r="C345" s="17" t="str">
        <x:v>OS-4567</x:v>
      </x:c>
      <x:c r="D345" s="17" t="str">
        <x:v>2026-04-27 08:00:00</x:v>
      </x:c>
      <x:c r="E345" s="17" t="str">
        <x:v>Johnson&amp;Johnson</x:v>
      </x:c>
      <x:c r="F345" s="17" t="str">
        <x:v>Estefania Moreno - indeterminado</x:v>
      </x:c>
      <x:c r="G345" s="17" t="str">
        <x:v>Concluído</x:v>
      </x:c>
      <x:c r="H345" s="17" t="str">
        <x:v>Pago</x:v>
      </x:c>
      <x:c r="I345" s="21" t="n">
        <x:v>938.4</x:v>
      </x:c>
    </x:row>
    <x:row r="346" ht="24" hidden="0" customHeight="1">
      <x:c r="A346" s="17" t="n">
        <x:v>346</x:v>
      </x:c>
      <x:c r="B346" s="17" t="str">
        <x:v>OP-1092</x:v>
      </x:c>
      <x:c r="C346" s="17" t="str">
        <x:v>OS-4570</x:v>
      </x:c>
      <x:c r="D346" s="17" t="str">
        <x:v>2026-04-27 11:00:00</x:v>
      </x:c>
      <x:c r="E346" s="17" t="str">
        <x:v>Johnson&amp;Johnson</x:v>
      </x:c>
      <x:c r="F346" s="17" t="str">
        <x:v>Christoph Gibson - indeterminado;
Wei Lu (Alex) - indeterminado</x:v>
      </x:c>
      <x:c r="G346" s="17" t="str">
        <x:v>Concluído</x:v>
      </x:c>
      <x:c r="H346" s="17" t="str">
        <x:v>Pago</x:v>
      </x:c>
      <x:c r="I346" s="21" t="n">
        <x:v>353.11</x:v>
      </x:c>
    </x:row>
    <x:row r="347" ht="24" hidden="0" customHeight="1">
      <x:c r="A347" s="17" t="n">
        <x:v>347</x:v>
      </x:c>
      <x:c r="B347" s="17" t="str">
        <x:v>OP-1219</x:v>
      </x:c>
      <x:c r="C347" s="17" t="str">
        <x:v>OS-4575</x:v>
      </x:c>
      <x:c r="D347" s="17" t="str">
        <x:v>2026-04-27 11:00:00</x:v>
      </x:c>
      <x:c r="E347" s="17" t="str">
        <x:v>Embraer</x:v>
      </x:c>
      <x:c r="F347" s="17" t="str">
        <x:v>KATIA FERNANDA BOMFIM DE MOURA - (12)9195-8403;
KAREN GONCALVES CAMPOS - (35)9919-7336</x:v>
      </x:c>
      <x:c r="G347" s="17" t="str">
        <x:v>Concluído</x:v>
      </x:c>
      <x:c r="H347" s="17" t="str">
        <x:v>Pago</x:v>
      </x:c>
      <x:c r="I347" s="21" t="n">
        <x:v>644.63</x:v>
      </x:c>
    </x:row>
    <x:row r="348" ht="24" hidden="0" customHeight="1">
      <x:c r="A348" s="17" t="n">
        <x:v>348</x:v>
      </x:c>
      <x:c r="B348" s="17" t="str">
        <x:v>OP-1219</x:v>
      </x:c>
      <x:c r="C348" s="17" t="str">
        <x:v>OS-4577</x:v>
      </x:c>
      <x:c r="D348" s="17" t="str">
        <x:v>2026-04-27 11:45:00</x:v>
      </x:c>
      <x:c r="E348" s="17" t="str">
        <x:v>Embraer</x:v>
      </x:c>
      <x:c r="F348" s="17" t="str">
        <x:v>SILVIA LETICIA DOS SANTOS - (12) 99220-7534;
EVANDRO HENRIQUE RENO - (12) 99121-3746</x:v>
      </x:c>
      <x:c r="G348" s="17" t="str">
        <x:v>Concluído</x:v>
      </x:c>
      <x:c r="H348" s="17" t="str">
        <x:v>Pago</x:v>
      </x:c>
      <x:c r="I348" s="21" t="n">
        <x:v>502.89</x:v>
      </x:c>
    </x:row>
    <x:row r="349" ht="15" hidden="0" customHeight="1">
      <x:c r="A349" s="17" t="n">
        <x:v>349</x:v>
      </x:c>
      <x:c r="B349" s="17" t="str">
        <x:v>OP-1083</x:v>
      </x:c>
      <x:c r="C349" s="17" t="str">
        <x:v>OS-4566</x:v>
      </x:c>
      <x:c r="D349" s="17" t="str">
        <x:v>2026-04-27 15:30:00</x:v>
      </x:c>
      <x:c r="E349" s="17" t="str">
        <x:v>Johnson&amp;Johnson</x:v>
      </x:c>
      <x:c r="F349" s="17" t="str">
        <x:v>Joe Bonnano - indeterminado</x:v>
      </x:c>
      <x:c r="G349" s="17" t="str">
        <x:v>Concluído</x:v>
      </x:c>
      <x:c r="H349" s="17" t="str">
        <x:v>Pago</x:v>
      </x:c>
      <x:c r="I349" s="21" t="n">
        <x:v>739.14</x:v>
      </x:c>
    </x:row>
    <x:row r="350" ht="15" hidden="0" customHeight="1">
      <x:c r="A350" s="17" t="n">
        <x:v>350</x:v>
      </x:c>
      <x:c r="B350" s="17" t="str">
        <x:v>OP-1219</x:v>
      </x:c>
      <x:c r="C350" s="17" t="str">
        <x:v>OS-4576</x:v>
      </x:c>
      <x:c r="D350" s="17" t="str">
        <x:v>2026-04-27 16:00:00</x:v>
      </x:c>
      <x:c r="E350" s="17" t="str">
        <x:v>Embraer</x:v>
      </x:c>
      <x:c r="F350" s="17" t="str">
        <x:v>Transporte F300 - indeterminado</x:v>
      </x:c>
      <x:c r="G350" s="17" t="str">
        <x:v>Concluído</x:v>
      </x:c>
      <x:c r="H350" s="17" t="str">
        <x:v>Pago</x:v>
      </x:c>
      <x:c r="I350" s="21" t="n">
        <x:v>179.64</x:v>
      </x:c>
    </x:row>
    <x:row r="351" ht="15" hidden="0" customHeight="1">
      <x:c r="A351" s="17" t="n">
        <x:v>351</x:v>
      </x:c>
      <x:c r="B351" s="17" t="str">
        <x:v>OP-1117</x:v>
      </x:c>
      <x:c r="C351" s="17" t="str">
        <x:v>OS-4446</x:v>
      </x:c>
      <x:c r="D351" s="17" t="str">
        <x:v>2026-04-27 16:00:00</x:v>
      </x:c>
      <x:c r="E351" s="17" t="str">
        <x:v>Johnson&amp;Johnson</x:v>
      </x:c>
      <x:c r="F351" s="17" t="str">
        <x:v>Joaquim Moreno - indeterminado</x:v>
      </x:c>
      <x:c r="G351" s="17" t="str">
        <x:v>Concluído</x:v>
      </x:c>
      <x:c r="H351" s="17" t="str">
        <x:v>Pago</x:v>
      </x:c>
      <x:c r="I351" s="21" t="n">
        <x:v>1100.13</x:v>
      </x:c>
    </x:row>
    <x:row r="352" ht="15" hidden="0" customHeight="1">
      <x:c r="A352" s="17" t="n">
        <x:v>352</x:v>
      </x:c>
      <x:c r="B352" s="17" t="str">
        <x:v>OP-1087</x:v>
      </x:c>
      <x:c r="C352" s="17" t="str">
        <x:v>OS-4629</x:v>
      </x:c>
      <x:c r="D352" s="17" t="str">
        <x:v>2026-04-27 16:30:00</x:v>
      </x:c>
      <x:c r="E352" s="17" t="str">
        <x:v>Particular</x:v>
      </x:c>
      <x:c r="F352" s="17" t="str">
        <x:v>Abe Millet - indeterminado</x:v>
      </x:c>
      <x:c r="G352" s="17" t="str">
        <x:v>Concluído</x:v>
      </x:c>
      <x:c r="H352" s="17" t="str">
        <x:v>Pago</x:v>
      </x:c>
      <x:c r="I352" s="21" t="n">
        <x:v>160.51</x:v>
      </x:c>
    </x:row>
    <x:row r="353" ht="15" hidden="0" customHeight="1">
      <x:c r="A353" s="17" t="n">
        <x:v>353</x:v>
      </x:c>
      <x:c r="B353" s="17" t="str">
        <x:v>OP-1079</x:v>
      </x:c>
      <x:c r="C353" s="17" t="str">
        <x:v>OS-4262</x:v>
      </x:c>
      <x:c r="D353" s="17" t="str">
        <x:v>2026-04-27 17:00:00</x:v>
      </x:c>
      <x:c r="E353" s="17" t="str">
        <x:v>Johnson&amp;Johnson</x:v>
      </x:c>
      <x:c r="F353" s="17" t="str">
        <x:v>Thiago Alves - 12 99136-3072</x:v>
      </x:c>
      <x:c r="G353" s="17" t="str">
        <x:v>Concluído</x:v>
      </x:c>
      <x:c r="H353" s="17" t="str">
        <x:v>Pago</x:v>
      </x:c>
      <x:c r="I353" s="21" t="n">
        <x:v>442.98</x:v>
      </x:c>
    </x:row>
    <x:row r="354" ht="24" hidden="0" customHeight="1">
      <x:c r="A354" s="17" t="n">
        <x:v>354</x:v>
      </x:c>
      <x:c r="B354" s="17" t="str">
        <x:v>OP-1092</x:v>
      </x:c>
      <x:c r="C354" s="17" t="str">
        <x:v>OS-4571</x:v>
      </x:c>
      <x:c r="D354" s="17" t="str">
        <x:v>2026-04-27 17:30:00</x:v>
      </x:c>
      <x:c r="E354" s="17" t="str">
        <x:v>Johnson&amp;Johnson</x:v>
      </x:c>
      <x:c r="F354" s="17" t="str">
        <x:v>Christoph Gibson - indeterminado;
Wei Lu (Alex) - indeterminado</x:v>
      </x:c>
      <x:c r="G354" s="17" t="str">
        <x:v>Concluído</x:v>
      </x:c>
      <x:c r="H354" s="17" t="str">
        <x:v>Pago</x:v>
      </x:c>
      <x:c r="I354" s="21" t="n">
        <x:v>340.11</x:v>
      </x:c>
    </x:row>
    <x:row r="355" ht="15" hidden="0" customHeight="1">
      <x:c r="A355" s="17" t="n">
        <x:v>355</x:v>
      </x:c>
      <x:c r="B355" s="17" t="str">
        <x:v>OP-1083</x:v>
      </x:c>
      <x:c r="C355" s="17" t="str">
        <x:v>OS-4578</x:v>
      </x:c>
      <x:c r="D355" s="17" t="str">
        <x:v>2026-04-27 17:30:00</x:v>
      </x:c>
      <x:c r="E355" s="17" t="str">
        <x:v>Johnson&amp;Johnson</x:v>
      </x:c>
      <x:c r="F355" s="17" t="str">
        <x:v>Stéphan Portha - indeterminado</x:v>
      </x:c>
      <x:c r="G355" s="17" t="str">
        <x:v>Concluído</x:v>
      </x:c>
      <x:c r="H355" s="17" t="str">
        <x:v>Pago</x:v>
      </x:c>
      <x:c r="I355" s="21" t="n">
        <x:v>160.51</x:v>
      </x:c>
    </x:row>
    <x:row r="356" ht="15" hidden="0" customHeight="1">
      <x:c r="A356" s="17" t="n">
        <x:v>356</x:v>
      </x:c>
      <x:c r="B356" s="17" t="str">
        <x:v>OP-1114</x:v>
      </x:c>
      <x:c r="C356" s="17" t="str">
        <x:v>OS-4649</x:v>
      </x:c>
      <x:c r="D356" s="17" t="str">
        <x:v>2026-04-27 17:40:00</x:v>
      </x:c>
      <x:c r="E356" s="17" t="str">
        <x:v>Boeing</x:v>
      </x:c>
      <x:c r="F356" s="17" t="str">
        <x:v>Francisco Neto - +55 12 98898-9004</x:v>
      </x:c>
      <x:c r="G356" s="17" t="str">
        <x:v>Concluído</x:v>
      </x:c>
      <x:c r="H356" s="17" t="str">
        <x:v>Pago</x:v>
      </x:c>
      <x:c r="I356" s="21" t="n">
        <x:v>396.05</x:v>
      </x:c>
    </x:row>
    <x:row r="357" ht="15" hidden="0" customHeight="1">
      <x:c r="A357" s="17" t="n">
        <x:v>357</x:v>
      </x:c>
      <x:c r="B357" s="17" t="str">
        <x:v>OP-1134</x:v>
      </x:c>
      <x:c r="C357" s="17" t="str">
        <x:v>OS-4636</x:v>
      </x:c>
      <x:c r="D357" s="17" t="str">
        <x:v>2026-04-27 19:30:00</x:v>
      </x:c>
      <x:c r="E357" s="17" t="str">
        <x:v>Latasa Recicla BR</x:v>
      </x:c>
      <x:c r="F357" s="17" t="str">
        <x:v>Alex Ribeiro - 12 99196-5955</x:v>
      </x:c>
      <x:c r="G357" s="17" t="str">
        <x:v>Concluído</x:v>
      </x:c>
      <x:c r="H357" s="17" t="str">
        <x:v>Pago</x:v>
      </x:c>
      <x:c r="I357" s="21" t="n">
        <x:v>89</x:v>
      </x:c>
    </x:row>
    <x:row r="358" ht="24" hidden="0" customHeight="1">
      <x:c r="A358" s="17" t="n">
        <x:v>358</x:v>
      </x:c>
      <x:c r="B358" s="17" t="str">
        <x:v>OP-1117</x:v>
      </x:c>
      <x:c r="C358" s="17" t="str">
        <x:v>OS-4533</x:v>
      </x:c>
      <x:c r="D358" s="17" t="str">
        <x:v>2026-04-28 04:30:00</x:v>
      </x:c>
      <x:c r="E358" s="17" t="str">
        <x:v>Johnson&amp;Johnson</x:v>
      </x:c>
      <x:c r="F358" s="17" t="str">
        <x:v>Gustavo Pierre - +55 11 99142-3401;
Said Haddad - indeterminado</x:v>
      </x:c>
      <x:c r="G358" s="17" t="str">
        <x:v>Concluído</x:v>
      </x:c>
      <x:c r="H358" s="17" t="str">
        <x:v>Pago</x:v>
      </x:c>
      <x:c r="I358" s="21" t="n">
        <x:v>1222.64</x:v>
      </x:c>
    </x:row>
    <x:row r="359" ht="15" hidden="0" customHeight="1">
      <x:c r="A359" s="17" t="n">
        <x:v>359</x:v>
      </x:c>
      <x:c r="B359" s="17" t="str">
        <x:v>OP-1123</x:v>
      </x:c>
      <x:c r="C359" s="17" t="str">
        <x:v>OS-4539</x:v>
      </x:c>
      <x:c r="D359" s="17" t="str">
        <x:v>2026-04-28 05:00:00</x:v>
      </x:c>
      <x:c r="E359" s="17" t="str">
        <x:v>Bundy Refrigeration</x:v>
      </x:c>
      <x:c r="F359" s="17" t="str">
        <x:v>Marcela Fernandes Calil - (12) 99170-9355</x:v>
      </x:c>
      <x:c r="G359" s="17" t="str">
        <x:v>Concluído</x:v>
      </x:c>
      <x:c r="H359" s="17" t="str">
        <x:v>Pago</x:v>
      </x:c>
      <x:c r="I359" s="21" t="n">
        <x:v>475</x:v>
      </x:c>
    </x:row>
    <x:row r="360" ht="15" hidden="0" customHeight="1">
      <x:c r="A360" s="17" t="n">
        <x:v>360</x:v>
      </x:c>
      <x:c r="B360" s="17" t="str">
        <x:v>OP-1219</x:v>
      </x:c>
      <x:c r="C360" s="17" t="str">
        <x:v>OS-4657</x:v>
      </x:c>
      <x:c r="D360" s="17" t="str">
        <x:v>2026-04-28 05:25:00</x:v>
      </x:c>
      <x:c r="E360" s="17" t="str">
        <x:v>Embraer</x:v>
      </x:c>
      <x:c r="F360" s="17" t="str">
        <x:v>Herman Matip - indeterminado</x:v>
      </x:c>
      <x:c r="G360" s="17" t="str">
        <x:v>Concluído</x:v>
      </x:c>
      <x:c r="H360" s="17" t="str">
        <x:v>Pago</x:v>
      </x:c>
      <x:c r="I360" s="21" t="n">
        <x:v>464.1</x:v>
      </x:c>
    </x:row>
    <x:row r="361" ht="15" hidden="0" customHeight="1">
      <x:c r="A361" s="17" t="n">
        <x:v>361</x:v>
      </x:c>
      <x:c r="B361" s="17" t="str">
        <x:v>OP-1219</x:v>
      </x:c>
      <x:c r="C361" s="17" t="str">
        <x:v>OS-4658</x:v>
      </x:c>
      <x:c r="D361" s="17" t="str">
        <x:v>2026-04-28 05:25:00</x:v>
      </x:c>
      <x:c r="E361" s="17" t="str">
        <x:v>Embraer</x:v>
      </x:c>
      <x:c r="F361" s="17" t="str">
        <x:v>Stephan Koenen - indeterminado</x:v>
      </x:c>
      <x:c r="G361" s="17" t="str">
        <x:v>Concluído</x:v>
      </x:c>
      <x:c r="H361" s="17" t="str">
        <x:v>Pago</x:v>
      </x:c>
      <x:c r="I361" s="21" t="n">
        <x:v>464.1</x:v>
      </x:c>
    </x:row>
    <x:row r="362" ht="15" hidden="0" customHeight="1">
      <x:c r="A362" s="17" t="n">
        <x:v>362</x:v>
      </x:c>
      <x:c r="B362" s="17" t="str">
        <x:v>OP-1092</x:v>
      </x:c>
      <x:c r="C362" s="17" t="str">
        <x:v>OS-4630</x:v>
      </x:c>
      <x:c r="D362" s="17" t="str">
        <x:v>2026-04-28 05:25:00</x:v>
      </x:c>
      <x:c r="E362" s="17" t="str">
        <x:v>Johnson&amp;Johnson</x:v>
      </x:c>
      <x:c r="F362" s="17" t="str">
        <x:v>Rebeca Lugo - indeterminado</x:v>
      </x:c>
      <x:c r="G362" s="17" t="str">
        <x:v>Concluído</x:v>
      </x:c>
      <x:c r="H362" s="17" t="str">
        <x:v>Pago</x:v>
      </x:c>
      <x:c r="I362" s="21" t="n">
        <x:v>1117.43</x:v>
      </x:c>
    </x:row>
    <x:row r="363" ht="24" hidden="0" customHeight="1">
      <x:c r="A363" s="17" t="n">
        <x:v>363</x:v>
      </x:c>
      <x:c r="B363" s="17" t="str">
        <x:v>OP-1092</x:v>
      </x:c>
      <x:c r="C363" s="17" t="str">
        <x:v>OS-4633</x:v>
      </x:c>
      <x:c r="D363" s="17" t="str">
        <x:v>2026-04-28 05:40:00</x:v>
      </x:c>
      <x:c r="E363" s="17" t="str">
        <x:v>Johnson&amp;Johnson</x:v>
      </x:c>
      <x:c r="F363" s="17" t="str">
        <x:v>Pamela Coleman - indeterminado;
Charlotte Hebner - indeterminado</x:v>
      </x:c>
      <x:c r="G363" s="17" t="str">
        <x:v>Concluído</x:v>
      </x:c>
      <x:c r="H363" s="17" t="str">
        <x:v>Pago</x:v>
      </x:c>
      <x:c r="I363" s="21" t="n">
        <x:v>1117.43</x:v>
      </x:c>
    </x:row>
    <x:row r="364" ht="15" hidden="0" customHeight="1">
      <x:c r="A364" s="17" t="n">
        <x:v>364</x:v>
      </x:c>
      <x:c r="B364" s="17" t="str">
        <x:v>OP-1089</x:v>
      </x:c>
      <x:c r="C364" s="17" t="str">
        <x:v>OS-4587</x:v>
      </x:c>
      <x:c r="D364" s="17" t="str">
        <x:v>2026-04-28 06:20:00</x:v>
      </x:c>
      <x:c r="E364" s="17" t="str">
        <x:v>Johnson&amp;Johnson</x:v>
      </x:c>
      <x:c r="F364" s="17" t="str">
        <x:v>Nilson Chaib - +55 12 98144-9326</x:v>
      </x:c>
      <x:c r="G364" s="17" t="str">
        <x:v>Concluído</x:v>
      </x:c>
      <x:c r="H364" s="17" t="str">
        <x:v>Pago</x:v>
      </x:c>
      <x:c r="I364" s="21" t="n">
        <x:v>1060.41</x:v>
      </x:c>
    </x:row>
    <x:row r="365" ht="15" hidden="0" customHeight="1">
      <x:c r="A365" s="17" t="n">
        <x:v>365</x:v>
      </x:c>
      <x:c r="B365" s="17" t="str">
        <x:v>OP-1219</x:v>
      </x:c>
      <x:c r="C365" s="17" t="str">
        <x:v>OS-4659</x:v>
      </x:c>
      <x:c r="D365" s="17" t="str">
        <x:v>2026-04-28 06:30:00</x:v>
      </x:c>
      <x:c r="E365" s="17" t="str">
        <x:v>Embraer</x:v>
      </x:c>
      <x:c r="F365" s="17" t="str">
        <x:v>EVERTON RICARDO DA COSTA FURQUIM - (14) 99173-5057</x:v>
      </x:c>
      <x:c r="G365" s="17" t="str">
        <x:v>Concluído</x:v>
      </x:c>
      <x:c r="H365" s="17" t="str">
        <x:v>Pago</x:v>
      </x:c>
      <x:c r="I365" s="21" t="n">
        <x:v>1063.31</x:v>
      </x:c>
    </x:row>
    <x:row r="366" ht="36" hidden="0" customHeight="1">
      <x:c r="A366" s="17" t="n">
        <x:v>366</x:v>
      </x:c>
      <x:c r="B366" s="17" t="str">
        <x:v>OP-1124</x:v>
      </x:c>
      <x:c r="C366" s="17" t="str">
        <x:v>OS-4521</x:v>
      </x:c>
      <x:c r="D366" s="17" t="str">
        <x:v>2026-04-28 06:30:00</x:v>
      </x:c>
      <x:c r="E366" s="17" t="str">
        <x:v>BeCooper</x:v>
      </x:c>
      <x:c r="F366" s="17" t="str">
        <x:v>Mariana A. O. Cardoso - +55 12 99192-8982;
Beatriz Chinellato - indeterminado;
Fernanda Gusmão - 12988134156</x:v>
      </x:c>
      <x:c r="G366" s="17" t="str">
        <x:v>Concluído</x:v>
      </x:c>
      <x:c r="H366" s="17" t="str">
        <x:v>Pago</x:v>
      </x:c>
      <x:c r="I366" s="21" t="n">
        <x:v>797.5</x:v>
      </x:c>
    </x:row>
    <x:row r="367" ht="36" hidden="0" customHeight="1">
      <x:c r="A367" s="17" t="n">
        <x:v>367</x:v>
      </x:c>
      <x:c r="B367" s="17" t="str">
        <x:v>OP-1117</x:v>
      </x:c>
      <x:c r="C367" s="17" t="str">
        <x:v>OS-4448</x:v>
      </x:c>
      <x:c r="D367" s="17" t="str">
        <x:v>2026-04-28 06:55:00</x:v>
      </x:c>
      <x:c r="E367" s="17" t="str">
        <x:v>Johnson&amp;Johnson</x:v>
      </x:c>
      <x:c r="F367" s="17" t="str">
        <x:v>Sarfraz Safir - indeterminado;
Geetanjali Gamel - indeterminado;
Kyle Kichline - indeterminado</x:v>
      </x:c>
      <x:c r="G367" s="17" t="str">
        <x:v>Concluído</x:v>
      </x:c>
      <x:c r="H367" s="17" t="str">
        <x:v>Pago</x:v>
      </x:c>
      <x:c r="I367" s="21" t="n">
        <x:v>2492</x:v>
      </x:c>
    </x:row>
    <x:row r="368" ht="15" hidden="0" customHeight="1">
      <x:c r="A368" s="17" t="n">
        <x:v>368</x:v>
      </x:c>
      <x:c r="B368" s="17" t="str">
        <x:v>OP-1092</x:v>
      </x:c>
      <x:c r="C368" s="17" t="str">
        <x:v>OS-4634</x:v>
      </x:c>
      <x:c r="D368" s="17" t="str">
        <x:v>2026-04-28 06:55:00</x:v>
      </x:c>
      <x:c r="E368" s="17" t="str">
        <x:v>Johnson&amp;Johnson</x:v>
      </x:c>
      <x:c r="F368" s="17" t="str">
        <x:v>Jeffrey Everett - indeterminado</x:v>
      </x:c>
      <x:c r="G368" s="17" t="str">
        <x:v>Concluído</x:v>
      </x:c>
      <x:c r="H368" s="17" t="str">
        <x:v>Pago</x:v>
      </x:c>
      <x:c r="I368" s="21" t="n">
        <x:v>1117.43</x:v>
      </x:c>
    </x:row>
    <x:row r="369" ht="24" hidden="0" customHeight="1">
      <x:c r="A369" s="17" t="n">
        <x:v>369</x:v>
      </x:c>
      <x:c r="B369" s="17" t="str">
        <x:v>OP-1092</x:v>
      </x:c>
      <x:c r="C369" s="17" t="str">
        <x:v>OS-4635</x:v>
      </x:c>
      <x:c r="D369" s="17" t="str">
        <x:v>2026-04-28 06:55:00</x:v>
      </x:c>
      <x:c r="E369" s="17" t="str">
        <x:v>Johnson&amp;Johnson</x:v>
      </x:c>
      <x:c r="F369" s="17" t="str">
        <x:v>John Stanley - indeterminado;
Sara Flannelly - indeterminado</x:v>
      </x:c>
      <x:c r="G369" s="17" t="str">
        <x:v>Concluído</x:v>
      </x:c>
      <x:c r="H369" s="17" t="str">
        <x:v>Pago</x:v>
      </x:c>
      <x:c r="I369" s="21" t="n">
        <x:v>1117.43</x:v>
      </x:c>
    </x:row>
    <x:row r="370" ht="15" hidden="0" customHeight="1">
      <x:c r="A370" s="17" t="n">
        <x:v>370</x:v>
      </x:c>
      <x:c r="B370" s="17" t="str">
        <x:v>OP-1083</x:v>
      </x:c>
      <x:c r="C370" s="17" t="str">
        <x:v>OS-4615</x:v>
      </x:c>
      <x:c r="D370" s="17" t="str">
        <x:v>2026-04-28 07:00:00</x:v>
      </x:c>
      <x:c r="E370" s="17" t="str">
        <x:v>Johnson&amp;Johnson</x:v>
      </x:c>
      <x:c r="F370" s="17" t="str">
        <x:v>Estefania Moreno - indeterminado</x:v>
      </x:c>
      <x:c r="G370" s="17" t="str">
        <x:v>Concluído</x:v>
      </x:c>
      <x:c r="H370" s="17" t="str">
        <x:v>Pago</x:v>
      </x:c>
      <x:c r="I370" s="21" t="n">
        <x:v>522.42</x:v>
      </x:c>
    </x:row>
    <x:row r="371" ht="15" hidden="0" customHeight="1">
      <x:c r="A371" s="17" t="n">
        <x:v>371</x:v>
      </x:c>
      <x:c r="B371" s="17" t="str">
        <x:v>OP-1219</x:v>
      </x:c>
      <x:c r="C371" s="17" t="str">
        <x:v>OS-4660</x:v>
      </x:c>
      <x:c r="D371" s="17" t="str">
        <x:v>2026-04-28 07:30:00</x:v>
      </x:c>
      <x:c r="E371" s="17" t="str">
        <x:v>Embraer</x:v>
      </x:c>
      <x:c r="F371" s="17" t="str">
        <x:v>Transporte F300 - indeterminado</x:v>
      </x:c>
      <x:c r="G371" s="17" t="str">
        <x:v>Concluído</x:v>
      </x:c>
      <x:c r="H371" s="17" t="str">
        <x:v>Pago</x:v>
      </x:c>
      <x:c r="I371" s="21" t="n">
        <x:v>179.64</x:v>
      </x:c>
    </x:row>
    <x:row r="372" ht="15" hidden="0" customHeight="1">
      <x:c r="A372" s="17" t="n">
        <x:v>372</x:v>
      </x:c>
      <x:c r="B372" s="17" t="str">
        <x:v>OP-1087</x:v>
      </x:c>
      <x:c r="C372" s="17" t="str">
        <x:v>OS-4631</x:v>
      </x:c>
      <x:c r="D372" s="17" t="str">
        <x:v>2026-04-28 07:30:00</x:v>
      </x:c>
      <x:c r="E372" s="17" t="str">
        <x:v>Particular</x:v>
      </x:c>
      <x:c r="F372" s="17" t="str">
        <x:v>Abe Millet - indeterminado</x:v>
      </x:c>
      <x:c r="G372" s="17" t="str">
        <x:v>Concluído</x:v>
      </x:c>
      <x:c r="H372" s="17" t="str">
        <x:v>Pago</x:v>
      </x:c>
      <x:c r="I372" s="21" t="n">
        <x:v>173.51</x:v>
      </x:c>
    </x:row>
    <x:row r="373" ht="24" hidden="0" customHeight="1">
      <x:c r="A373" s="17" t="n">
        <x:v>373</x:v>
      </x:c>
      <x:c r="B373" s="17" t="str">
        <x:v>OP-1092</x:v>
      </x:c>
      <x:c r="C373" s="17" t="str">
        <x:v>OS-4637</x:v>
      </x:c>
      <x:c r="D373" s="17" t="str">
        <x:v>2026-04-28 08:00:00</x:v>
      </x:c>
      <x:c r="E373" s="17" t="str">
        <x:v>Johnson&amp;Johnson</x:v>
      </x:c>
      <x:c r="F373" s="17" t="str">
        <x:v>Christoph Gibson - indeterminado;
Wei Lu (Alex) - indeterminado</x:v>
      </x:c>
      <x:c r="G373" s="17" t="str">
        <x:v>Concluído</x:v>
      </x:c>
      <x:c r="H373" s="17" t="str">
        <x:v>Pago</x:v>
      </x:c>
      <x:c r="I373" s="21" t="n">
        <x:v>353.11</x:v>
      </x:c>
    </x:row>
    <x:row r="374" ht="24" hidden="0" customHeight="1">
      <x:c r="A374" s="17" t="n">
        <x:v>374</x:v>
      </x:c>
      <x:c r="B374" s="17" t="str">
        <x:v>OP-1219</x:v>
      </x:c>
      <x:c r="C374" s="17" t="str">
        <x:v>OS-4662</x:v>
      </x:c>
      <x:c r="D374" s="17" t="str">
        <x:v>2026-04-28 08:00:00</x:v>
      </x:c>
      <x:c r="E374" s="17" t="str">
        <x:v>Embraer</x:v>
      </x:c>
      <x:c r="F374" s="17" t="str">
        <x:v>CARLOS ALEXANDRE CENDRETTE - (12)9156-9382;
ALESSANDRA DAS GRACAS PORTELA RODRIGUEZ - (12) 98138-1381</x:v>
      </x:c>
      <x:c r="G374" s="17" t="str">
        <x:v>Concluído</x:v>
      </x:c>
      <x:c r="H374" s="17" t="str">
        <x:v>Pago</x:v>
      </x:c>
      <x:c r="I374" s="21" t="n">
        <x:v>757.87</x:v>
      </x:c>
    </x:row>
    <x:row r="375" ht="15" hidden="0" customHeight="1">
      <x:c r="A375" s="17" t="n">
        <x:v>375</x:v>
      </x:c>
      <x:c r="B375" s="17" t="str">
        <x:v>OP-1117</x:v>
      </x:c>
      <x:c r="C375" s="17" t="str">
        <x:v>OS-4534</x:v>
      </x:c>
      <x:c r="D375" s="17" t="str">
        <x:v>2026-04-28 08:10:00</x:v>
      </x:c>
      <x:c r="E375" s="17" t="str">
        <x:v>Johnson&amp;Johnson</x:v>
      </x:c>
      <x:c r="F375" s="17" t="str">
        <x:v>Joaquim Moreno - indeterminado</x:v>
      </x:c>
      <x:c r="G375" s="17" t="str">
        <x:v>Concluído</x:v>
      </x:c>
      <x:c r="H375" s="17" t="str">
        <x:v>Pago</x:v>
      </x:c>
      <x:c r="I375" s="21" t="n">
        <x:v>725.01</x:v>
      </x:c>
    </x:row>
    <x:row r="376" ht="24" hidden="0" customHeight="1">
      <x:c r="A376" s="17" t="n">
        <x:v>376</x:v>
      </x:c>
      <x:c r="B376" s="17" t="str">
        <x:v>OP-1092</x:v>
      </x:c>
      <x:c r="C376" s="17" t="str">
        <x:v>OS-4638</x:v>
      </x:c>
      <x:c r="D376" s="17" t="str">
        <x:v>2026-04-28 08:30:00</x:v>
      </x:c>
      <x:c r="E376" s="17" t="str">
        <x:v>Johnson&amp;Johnson</x:v>
      </x:c>
      <x:c r="F376" s="17" t="str">
        <x:v>Lynn Xu - indeterminado;
Padraig Hernon - indeterminado</x:v>
      </x:c>
      <x:c r="G376" s="17" t="str">
        <x:v>Concluído</x:v>
      </x:c>
      <x:c r="H376" s="17" t="str">
        <x:v>Pago</x:v>
      </x:c>
      <x:c r="I376" s="21" t="n">
        <x:v>353.11</x:v>
      </x:c>
    </x:row>
    <x:row r="377" ht="15" hidden="0" customHeight="1">
      <x:c r="A377" s="17" t="n">
        <x:v>377</x:v>
      </x:c>
      <x:c r="B377" s="17" t="str">
        <x:v>OP-1219</x:v>
      </x:c>
      <x:c r="C377" s="17" t="str">
        <x:v>OS-4663</x:v>
      </x:c>
      <x:c r="D377" s="17" t="str">
        <x:v>2026-04-28 09:15:00</x:v>
      </x:c>
      <x:c r="E377" s="17" t="str">
        <x:v>Embraer</x:v>
      </x:c>
      <x:c r="F377" s="17" t="str">
        <x:v>Transporte F300 - indeterminado</x:v>
      </x:c>
      <x:c r="G377" s="17" t="str">
        <x:v>Concluído</x:v>
      </x:c>
      <x:c r="H377" s="17" t="str">
        <x:v>Pago</x:v>
      </x:c>
      <x:c r="I377" s="21" t="n">
        <x:v>179.64</x:v>
      </x:c>
    </x:row>
    <x:row r="378" ht="15" hidden="0" customHeight="1">
      <x:c r="A378" s="17" t="n">
        <x:v>378</x:v>
      </x:c>
      <x:c r="B378" s="17" t="str">
        <x:v>OP-1083</x:v>
      </x:c>
      <x:c r="C378" s="17" t="str">
        <x:v>OS-4627</x:v>
      </x:c>
      <x:c r="D378" s="17" t="str">
        <x:v>2026-04-28 09:30:00</x:v>
      </x:c>
      <x:c r="E378" s="17" t="str">
        <x:v>Johnson&amp;Johnson</x:v>
      </x:c>
      <x:c r="F378" s="17" t="str">
        <x:v>Stéphan Portha - indeterminado</x:v>
      </x:c>
      <x:c r="G378" s="17" t="str">
        <x:v>Concluído</x:v>
      </x:c>
      <x:c r="H378" s="17" t="str">
        <x:v>Pago</x:v>
      </x:c>
      <x:c r="I378" s="21" t="n">
        <x:v>522.42</x:v>
      </x:c>
    </x:row>
    <x:row r="379" ht="24" hidden="0" customHeight="1">
      <x:c r="A379" s="17" t="n">
        <x:v>379</x:v>
      </x:c>
      <x:c r="B379" s="17" t="str">
        <x:v>OP-1092</x:v>
      </x:c>
      <x:c r="C379" s="17" t="str">
        <x:v>OS-4639</x:v>
      </x:c>
      <x:c r="D379" s="17" t="str">
        <x:v>2026-04-28 10:15:00</x:v>
      </x:c>
      <x:c r="E379" s="17" t="str">
        <x:v>Johnson&amp;Johnson</x:v>
      </x:c>
      <x:c r="F379" s="17" t="str">
        <x:v>Rebeca Lugo - indeterminado;
Jeffrey Everett - indeterminado</x:v>
      </x:c>
      <x:c r="G379" s="17" t="str">
        <x:v>Concluído</x:v>
      </x:c>
      <x:c r="H379" s="17" t="str">
        <x:v>Pago</x:v>
      </x:c>
      <x:c r="I379" s="21" t="n">
        <x:v>353.11</x:v>
      </x:c>
    </x:row>
    <x:row r="380" ht="24" hidden="0" customHeight="1">
      <x:c r="A380" s="17" t="n">
        <x:v>380</x:v>
      </x:c>
      <x:c r="B380" s="17" t="str">
        <x:v>OP-1092</x:v>
      </x:c>
      <x:c r="C380" s="17" t="str">
        <x:v>OS-4641</x:v>
      </x:c>
      <x:c r="D380" s="17" t="str">
        <x:v>2026-04-28 10:15:00</x:v>
      </x:c>
      <x:c r="E380" s="17" t="str">
        <x:v>Johnson&amp;Johnson</x:v>
      </x:c>
      <x:c r="F380" s="17" t="str">
        <x:v>Charlotte Hebner - indeterminado;
Pamela Coleman - indeterminado</x:v>
      </x:c>
      <x:c r="G380" s="17" t="str">
        <x:v>Concluído</x:v>
      </x:c>
      <x:c r="H380" s="17" t="str">
        <x:v>Pago</x:v>
      </x:c>
      <x:c r="I380" s="21" t="n">
        <x:v>353.11</x:v>
      </x:c>
    </x:row>
    <x:row r="381" ht="15" hidden="0" customHeight="1">
      <x:c r="A381" s="17" t="n">
        <x:v>381</x:v>
      </x:c>
      <x:c r="B381" s="17" t="str">
        <x:v>OP-1092</x:v>
      </x:c>
      <x:c r="C381" s="17" t="str">
        <x:v>OS-4642</x:v>
      </x:c>
      <x:c r="D381" s="17" t="str">
        <x:v>2026-04-28 10:15:00</x:v>
      </x:c>
      <x:c r="E381" s="17" t="str">
        <x:v>Johnson&amp;Johnson</x:v>
      </x:c>
      <x:c r="F381" s="17" t="str">
        <x:v>Jeffrey Everett - indeterminado</x:v>
      </x:c>
      <x:c r="G381" s="17" t="str">
        <x:v>Concluído</x:v>
      </x:c>
      <x:c r="H381" s="17" t="str">
        <x:v>Pago</x:v>
      </x:c>
      <x:c r="I381" s="21" t="n">
        <x:v>353.11</x:v>
      </x:c>
    </x:row>
    <x:row r="382" ht="24" hidden="0" customHeight="1">
      <x:c r="A382" s="17" t="n">
        <x:v>382</x:v>
      </x:c>
      <x:c r="B382" s="17" t="str">
        <x:v>OP-1092</x:v>
      </x:c>
      <x:c r="C382" s="17" t="str">
        <x:v>OS-4643</x:v>
      </x:c>
      <x:c r="D382" s="17" t="str">
        <x:v>2026-04-28 10:15:00</x:v>
      </x:c>
      <x:c r="E382" s="17" t="str">
        <x:v>Johnson&amp;Johnson</x:v>
      </x:c>
      <x:c r="F382" s="17" t="str">
        <x:v>John Stanley - indeterminado;
Sara Flannelly - indeterminado</x:v>
      </x:c>
      <x:c r="G382" s="17" t="str">
        <x:v>Concluído</x:v>
      </x:c>
      <x:c r="H382" s="17" t="str">
        <x:v>Pago</x:v>
      </x:c>
      <x:c r="I382" s="21" t="n">
        <x:v>353.11</x:v>
      </x:c>
    </x:row>
    <x:row r="383" ht="15" hidden="0" customHeight="1">
      <x:c r="A383" s="17" t="n">
        <x:v>383</x:v>
      </x:c>
      <x:c r="B383" s="17" t="str">
        <x:v>OP-1134</x:v>
      </x:c>
      <x:c r="C383" s="17" t="str">
        <x:v>OS-4698</x:v>
      </x:c>
      <x:c r="D383" s="17" t="str">
        <x:v>2026-04-28 13:00:00</x:v>
      </x:c>
      <x:c r="E383" s="17" t="str">
        <x:v>Latasa Recicla BR</x:v>
      </x:c>
      <x:c r="F383" s="17" t="str">
        <x:v>Tiago Henrique Santos Xavier - (12) 99142-8629</x:v>
      </x:c>
      <x:c r="G383" s="17" t="str">
        <x:v>Concluído</x:v>
      </x:c>
      <x:c r="H383" s="17" t="str">
        <x:v>Pago</x:v>
      </x:c>
      <x:c r="I383" s="21" t="n">
        <x:v>315</x:v>
      </x:c>
    </x:row>
    <x:row r="384" ht="15" hidden="0" customHeight="1">
      <x:c r="A384" s="17" t="n">
        <x:v>384</x:v>
      </x:c>
      <x:c r="B384" s="17" t="str">
        <x:v>OP-1219</x:v>
      </x:c>
      <x:c r="C384" s="17" t="str">
        <x:v>OS-4699</x:v>
      </x:c>
      <x:c r="D384" s="17" t="str">
        <x:v>2026-04-28 14:30:00</x:v>
      </x:c>
      <x:c r="E384" s="17" t="str">
        <x:v>Embraer</x:v>
      </x:c>
      <x:c r="F384" s="17" t="str">
        <x:v>SERGIO ALVAREZ GONZALEZ - (12) 99147-7942</x:v>
      </x:c>
      <x:c r="G384" s="17" t="str">
        <x:v>Concluído</x:v>
      </x:c>
      <x:c r="H384" s="17" t="str">
        <x:v>Pago</x:v>
      </x:c>
      <x:c r="I384" s="21" t="n">
        <x:v>397.1</x:v>
      </x:c>
    </x:row>
    <x:row r="385" ht="15" hidden="0" customHeight="1">
      <x:c r="A385" s="17" t="n">
        <x:v>385</x:v>
      </x:c>
      <x:c r="B385" s="17" t="str">
        <x:v>OP-1219</x:v>
      </x:c>
      <x:c r="C385" s="17" t="str">
        <x:v>OS-4661</x:v>
      </x:c>
      <x:c r="D385" s="17" t="str">
        <x:v>2026-04-28 15:00:00</x:v>
      </x:c>
      <x:c r="E385" s="17" t="str">
        <x:v>Embraer</x:v>
      </x:c>
      <x:c r="F385" s="17" t="str">
        <x:v>Transporte F300 - indeterminado</x:v>
      </x:c>
      <x:c r="G385" s="17" t="str">
        <x:v>Concluído</x:v>
      </x:c>
      <x:c r="H385" s="17" t="str">
        <x:v>Pago</x:v>
      </x:c>
      <x:c r="I385" s="21" t="n">
        <x:v>179.64</x:v>
      </x:c>
    </x:row>
    <x:row r="386" ht="24" hidden="0" customHeight="1">
      <x:c r="A386" s="17" t="n">
        <x:v>386</x:v>
      </x:c>
      <x:c r="B386" s="17" t="str">
        <x:v>OP-1092</x:v>
      </x:c>
      <x:c r="C386" s="17" t="str">
        <x:v>OS-4644</x:v>
      </x:c>
      <x:c r="D386" s="17" t="str">
        <x:v>2026-04-28 16:30:00</x:v>
      </x:c>
      <x:c r="E386" s="17" t="str">
        <x:v>Johnson&amp;Johnson</x:v>
      </x:c>
      <x:c r="F386" s="17" t="str">
        <x:v>Jeffrey Everett - indeterminado;
Christoph Gibson - indeterminado</x:v>
      </x:c>
      <x:c r="G386" s="17" t="str">
        <x:v>Concluído</x:v>
      </x:c>
      <x:c r="H386" s="17" t="str">
        <x:v>Pago</x:v>
      </x:c>
      <x:c r="I386" s="21" t="n">
        <x:v>1700.55</x:v>
      </x:c>
    </x:row>
    <x:row r="387" ht="24" hidden="0" customHeight="1">
      <x:c r="A387" s="17" t="n">
        <x:v>387</x:v>
      </x:c>
      <x:c r="B387" s="17" t="str">
        <x:v>OP-1092</x:v>
      </x:c>
      <x:c r="C387" s="17" t="str">
        <x:v>OS-4645</x:v>
      </x:c>
      <x:c r="D387" s="17" t="str">
        <x:v>2026-04-28 16:30:00</x:v>
      </x:c>
      <x:c r="E387" s="17" t="str">
        <x:v>Johnson&amp;Johnson</x:v>
      </x:c>
      <x:c r="F387" s="17" t="str">
        <x:v>Rebeca Lugo - indeterminado;
Lynn Xu - indeterminado</x:v>
      </x:c>
      <x:c r="G387" s="17" t="str">
        <x:v>Concluído</x:v>
      </x:c>
      <x:c r="H387" s="17" t="str">
        <x:v>Pago</x:v>
      </x:c>
      <x:c r="I387" s="21" t="n">
        <x:v>1700.55</x:v>
      </x:c>
    </x:row>
    <x:row r="388" ht="24" hidden="0" customHeight="1">
      <x:c r="A388" s="17" t="n">
        <x:v>388</x:v>
      </x:c>
      <x:c r="B388" s="17" t="str">
        <x:v>OP-1092</x:v>
      </x:c>
      <x:c r="C388" s="17" t="str">
        <x:v>OS-4646</x:v>
      </x:c>
      <x:c r="D388" s="17" t="str">
        <x:v>2026-04-28 16:30:00</x:v>
      </x:c>
      <x:c r="E388" s="17" t="str">
        <x:v>Johnson&amp;Johnson</x:v>
      </x:c>
      <x:c r="F388" s="17" t="str">
        <x:v>Charlotte Hebner - indeterminado;
Pamela Coleman - indeterminado</x:v>
      </x:c>
      <x:c r="G388" s="17" t="str">
        <x:v>Concluído</x:v>
      </x:c>
      <x:c r="H388" s="17" t="str">
        <x:v>Pago</x:v>
      </x:c>
      <x:c r="I388" s="21" t="n">
        <x:v>1700.55</x:v>
      </x:c>
    </x:row>
    <x:row r="389" ht="24" hidden="0" customHeight="1">
      <x:c r="A389" s="17" t="n">
        <x:v>389</x:v>
      </x:c>
      <x:c r="B389" s="17" t="str">
        <x:v>OP-1092</x:v>
      </x:c>
      <x:c r="C389" s="17" t="str">
        <x:v>OS-4647</x:v>
      </x:c>
      <x:c r="D389" s="17" t="str">
        <x:v>2026-04-28 16:30:00</x:v>
      </x:c>
      <x:c r="E389" s="17" t="str">
        <x:v>Johnson&amp;Johnson</x:v>
      </x:c>
      <x:c r="F389" s="17" t="str">
        <x:v>Padraig Hernon - indeterminado;
Wei Lu (Alex) - indeterminado</x:v>
      </x:c>
      <x:c r="G389" s="17" t="str">
        <x:v>Concluído</x:v>
      </x:c>
      <x:c r="H389" s="17" t="str">
        <x:v>Pago</x:v>
      </x:c>
      <x:c r="I389" s="21" t="n">
        <x:v>1700.55</x:v>
      </x:c>
    </x:row>
    <x:row r="390" ht="24" hidden="0" customHeight="1">
      <x:c r="A390" s="17" t="n">
        <x:v>390</x:v>
      </x:c>
      <x:c r="B390" s="17" t="str">
        <x:v>OP-1092</x:v>
      </x:c>
      <x:c r="C390" s="17" t="str">
        <x:v>OS-4648</x:v>
      </x:c>
      <x:c r="D390" s="17" t="str">
        <x:v>2026-04-28 16:30:00</x:v>
      </x:c>
      <x:c r="E390" s="17" t="str">
        <x:v>Johnson&amp;Johnson</x:v>
      </x:c>
      <x:c r="F390" s="17" t="str">
        <x:v>John Stanley - indeterminado;
Sara Flannelly - indeterminado</x:v>
      </x:c>
      <x:c r="G390" s="17" t="str">
        <x:v>Concluído</x:v>
      </x:c>
      <x:c r="H390" s="17" t="str">
        <x:v>Pago</x:v>
      </x:c>
      <x:c r="I390" s="21" t="n">
        <x:v>1700.55</x:v>
      </x:c>
    </x:row>
    <x:row r="391" ht="15" hidden="0" customHeight="1">
      <x:c r="A391" s="17" t="n">
        <x:v>391</x:v>
      </x:c>
      <x:c r="B391" s="17" t="str">
        <x:v>OP-1087</x:v>
      </x:c>
      <x:c r="C391" s="17" t="str">
        <x:v>OS-4632</x:v>
      </x:c>
      <x:c r="D391" s="17" t="str">
        <x:v>2026-04-28 16:30:00</x:v>
      </x:c>
      <x:c r="E391" s="17" t="str">
        <x:v>Particular</x:v>
      </x:c>
      <x:c r="F391" s="17" t="str">
        <x:v>Abe Millet - indeterminado</x:v>
      </x:c>
      <x:c r="G391" s="17" t="str">
        <x:v>Concluído</x:v>
      </x:c>
      <x:c r="H391" s="17" t="str">
        <x:v>Pago</x:v>
      </x:c>
      <x:c r="I391" s="21" t="n">
        <x:v>788.72</x:v>
      </x:c>
    </x:row>
    <x:row r="392" ht="15" hidden="0" customHeight="1">
      <x:c r="A392" s="17" t="n">
        <x:v>392</x:v>
      </x:c>
      <x:c r="B392" s="17" t="str">
        <x:v>OP-1134</x:v>
      </x:c>
      <x:c r="C392" s="17" t="str">
        <x:v>OS-4710</x:v>
      </x:c>
      <x:c r="D392" s="17" t="str">
        <x:v>2026-04-28 19:30:00</x:v>
      </x:c>
      <x:c r="E392" s="17" t="str">
        <x:v>Latasa Recicla BR</x:v>
      </x:c>
      <x:c r="F392" s="17" t="str">
        <x:v>Alex Ribeiro - 12 99196-5955</x:v>
      </x:c>
      <x:c r="G392" s="17" t="str">
        <x:v>Concluído</x:v>
      </x:c>
      <x:c r="H392" s="17" t="str">
        <x:v>Pago</x:v>
      </x:c>
      <x:c r="I392" s="21" t="n">
        <x:v>89</x:v>
      </x:c>
    </x:row>
    <x:row r="393" ht="15" hidden="0" customHeight="1">
      <x:c r="A393" s="17" t="n">
        <x:v>393</x:v>
      </x:c>
      <x:c r="B393" s="17" t="str">
        <x:v>OP-1219</x:v>
      </x:c>
      <x:c r="C393" s="17" t="str">
        <x:v>OS-4706</x:v>
      </x:c>
      <x:c r="D393" s="17" t="str">
        <x:v>2026-04-29 05:30:00</x:v>
      </x:c>
      <x:c r="E393" s="17" t="str">
        <x:v>Embraer</x:v>
      </x:c>
      <x:c r="F393" s="17" t="str">
        <x:v>GLEVERSON FABNER CONDE LEMOS - (12) 81009-686</x:v>
      </x:c>
      <x:c r="G393" s="17" t="str">
        <x:v>Concluído</x:v>
      </x:c>
      <x:c r="H393" s="17" t="str">
        <x:v>Pago</x:v>
      </x:c>
      <x:c r="I393" s="21" t="n">
        <x:v>464.1</x:v>
      </x:c>
    </x:row>
    <x:row r="394" ht="48" hidden="0" customHeight="1">
      <x:c r="A394" s="17" t="n">
        <x:v>394</x:v>
      </x:c>
      <x:c r="B394" s="17" t="str">
        <x:v>OP-1117</x:v>
      </x:c>
      <x:c r="C394" s="17" t="str">
        <x:v>OS-4449</x:v>
      </x:c>
      <x:c r="D394" s="17" t="str">
        <x:v>2026-04-29 07:45:00</x:v>
      </x:c>
      <x:c r="E394" s="17" t="str">
        <x:v>Johnson&amp;Johnson</x:v>
      </x:c>
      <x:c r="F394" s="17" t="str">
        <x:v>Said Haddad - indeterminado;
Sarfraz Safir - indeterminado;
Geetanjali Gamel - indeterminado;
Kyle Kichline - indeterminado</x:v>
      </x:c>
      <x:c r="G394" s="17" t="str">
        <x:v>Concluído</x:v>
      </x:c>
      <x:c r="H394" s="17" t="str">
        <x:v>Pago</x:v>
      </x:c>
      <x:c r="I394" s="21" t="n">
        <x:v>2492</x:v>
      </x:c>
    </x:row>
    <x:row r="395" ht="24" hidden="0" customHeight="1">
      <x:c r="A395" s="17" t="n">
        <x:v>395</x:v>
      </x:c>
      <x:c r="B395" s="17" t="str">
        <x:v>OP-1092</x:v>
      </x:c>
      <x:c r="C395" s="17" t="str">
        <x:v>OS-4709</x:v>
      </x:c>
      <x:c r="D395" s="17" t="str">
        <x:v>2026-04-29 08:00:00</x:v>
      </x:c>
      <x:c r="E395" s="17" t="str">
        <x:v>Johnson&amp;Johnson</x:v>
      </x:c>
      <x:c r="F395" s="17" t="str">
        <x:v>Rebeca Lugo - indeterminado;
Lynn Xu - indeterminado</x:v>
      </x:c>
      <x:c r="G395" s="17" t="str">
        <x:v>Concluído</x:v>
      </x:c>
      <x:c r="H395" s="17" t="str">
        <x:v>Pago</x:v>
      </x:c>
      <x:c r="I395" s="21" t="n">
        <x:v>353.11</x:v>
      </x:c>
    </x:row>
    <x:row r="396" ht="24" hidden="0" customHeight="1">
      <x:c r="A396" s="17" t="n">
        <x:v>396</x:v>
      </x:c>
      <x:c r="B396" s="17" t="str">
        <x:v>OP-1092</x:v>
      </x:c>
      <x:c r="C396" s="17" t="str">
        <x:v>OS-4712</x:v>
      </x:c>
      <x:c r="D396" s="17" t="str">
        <x:v>2026-04-29 08:00:00</x:v>
      </x:c>
      <x:c r="E396" s="17" t="str">
        <x:v>Johnson&amp;Johnson</x:v>
      </x:c>
      <x:c r="F396" s="17" t="str">
        <x:v>Padraig Hernon - indeterminado;
Wei Lu (Alex) - indeterminado</x:v>
      </x:c>
      <x:c r="G396" s="17" t="str">
        <x:v>Concluído</x:v>
      </x:c>
      <x:c r="H396" s="17" t="str">
        <x:v>Pago</x:v>
      </x:c>
      <x:c r="I396" s="21" t="n">
        <x:v>353.11</x:v>
      </x:c>
    </x:row>
    <x:row r="397" ht="24" hidden="0" customHeight="1">
      <x:c r="A397" s="17" t="n">
        <x:v>397</x:v>
      </x:c>
      <x:c r="B397" s="17" t="str">
        <x:v>OP-1092</x:v>
      </x:c>
      <x:c r="C397" s="17" t="str">
        <x:v>OS-4713</x:v>
      </x:c>
      <x:c r="D397" s="17" t="str">
        <x:v>2026-04-29 08:00:00</x:v>
      </x:c>
      <x:c r="E397" s="17" t="str">
        <x:v>Johnson&amp;Johnson</x:v>
      </x:c>
      <x:c r="F397" s="17" t="str">
        <x:v>John Stanley - indeterminado;
Sara Flannelly - indeterminado</x:v>
      </x:c>
      <x:c r="G397" s="17" t="str">
        <x:v>Concluído</x:v>
      </x:c>
      <x:c r="H397" s="17" t="str">
        <x:v>Pago</x:v>
      </x:c>
      <x:c r="I397" s="21" t="n">
        <x:v>353.11</x:v>
      </x:c>
    </x:row>
    <x:row r="398" ht="15" hidden="0" customHeight="1">
      <x:c r="A398" s="17" t="n">
        <x:v>398</x:v>
      </x:c>
      <x:c r="B398" s="17" t="str">
        <x:v>OP-1219</x:v>
      </x:c>
      <x:c r="C398" s="17" t="str">
        <x:v>OS-4707</x:v>
      </x:c>
      <x:c r="D398" s="17" t="str">
        <x:v>2026-04-29 09:00:00</x:v>
      </x:c>
      <x:c r="E398" s="17" t="str">
        <x:v>Embraer</x:v>
      </x:c>
      <x:c r="F398" s="17" t="str">
        <x:v>Transporte F300 - indeterminado</x:v>
      </x:c>
      <x:c r="G398" s="17" t="str">
        <x:v>Concluído</x:v>
      </x:c>
      <x:c r="H398" s="17" t="str">
        <x:v>Pago</x:v>
      </x:c>
      <x:c r="I398" s="21" t="n">
        <x:v>179.64</x:v>
      </x:c>
    </x:row>
    <x:row r="399" ht="15" hidden="0" customHeight="1">
      <x:c r="A399" s="17" t="n">
        <x:v>399</x:v>
      </x:c>
      <x:c r="B399" s="17" t="str">
        <x:v>OP-1219</x:v>
      </x:c>
      <x:c r="C399" s="17" t="str">
        <x:v>OS-4872</x:v>
      </x:c>
      <x:c r="D399" s="17" t="str">
        <x:v>2026-04-29 09:30:00</x:v>
      </x:c>
      <x:c r="E399" s="17" t="str">
        <x:v>Embraer</x:v>
      </x:c>
      <x:c r="F399" s="17" t="str">
        <x:v>Transporte F300 - indeterminado</x:v>
      </x:c>
      <x:c r="G399" s="17" t="str">
        <x:v>Concluído</x:v>
      </x:c>
      <x:c r="H399" s="17" t="str">
        <x:v>Pago</x:v>
      </x:c>
      <x:c r="I399" s="21" t="n">
        <x:v>179.64</x:v>
      </x:c>
    </x:row>
    <x:row r="400" ht="15" hidden="0" customHeight="1">
      <x:c r="A400" s="17" t="n">
        <x:v>400</x:v>
      </x:c>
      <x:c r="B400" s="17" t="str">
        <x:v>OP-1219</x:v>
      </x:c>
      <x:c r="C400" s="17" t="str">
        <x:v>OS-4871</x:v>
      </x:c>
      <x:c r="D400" s="17" t="str">
        <x:v>2026-04-29 10:00:00</x:v>
      </x:c>
      <x:c r="E400" s="17" t="str">
        <x:v>Embraer</x:v>
      </x:c>
      <x:c r="F400" s="17" t="str">
        <x:v>Transporte F300 - indeterminado</x:v>
      </x:c>
      <x:c r="G400" s="17" t="str">
        <x:v>Concluído</x:v>
      </x:c>
      <x:c r="H400" s="17" t="str">
        <x:v>Pago</x:v>
      </x:c>
      <x:c r="I400" s="21" t="n">
        <x:v>179.64</x:v>
      </x:c>
    </x:row>
    <x:row r="401" ht="15" hidden="0" customHeight="1">
      <x:c r="A401" s="17" t="n">
        <x:v>401</x:v>
      </x:c>
      <x:c r="B401" s="17" t="str">
        <x:v>OP-1236</x:v>
      </x:c>
      <x:c r="C401" s="17" t="str">
        <x:v>OS-4689</x:v>
      </x:c>
      <x:c r="D401" s="17" t="str">
        <x:v>2026-04-29 10:45:00</x:v>
      </x:c>
      <x:c r="E401" s="17" t="str">
        <x:v>Particular</x:v>
      </x:c>
      <x:c r="F401" s="17" t="str">
        <x:v>Innes Mullen - (12) 99766-0236</x:v>
      </x:c>
      <x:c r="G401" s="17" t="str">
        <x:v>Concluído</x:v>
      </x:c>
      <x:c r="H401" s="17" t="str">
        <x:v>Pago</x:v>
      </x:c>
      <x:c r="I401" s="21" t="n">
        <x:v>465</x:v>
      </x:c>
    </x:row>
    <x:row r="402" ht="36" hidden="0" customHeight="1">
      <x:c r="A402" s="17" t="n">
        <x:v>402</x:v>
      </x:c>
      <x:c r="B402" s="17" t="str">
        <x:v>OP-1117</x:v>
      </x:c>
      <x:c r="C402" s="17" t="str">
        <x:v>OS-4452</x:v>
      </x:c>
      <x:c r="D402" s="17" t="str">
        <x:v>2026-04-29 12:30:00</x:v>
      </x:c>
      <x:c r="E402" s="17" t="str">
        <x:v>Johnson&amp;Johnson</x:v>
      </x:c>
      <x:c r="F402" s="17" t="str">
        <x:v>Anne C. Costa - +55 11 99842-8510;
Said Haddad - indeterminado;
Geetanjali Gamel - indeterminado</x:v>
      </x:c>
      <x:c r="G402" s="17" t="str">
        <x:v>Concluído</x:v>
      </x:c>
      <x:c r="H402" s="17" t="str">
        <x:v>Pago</x:v>
      </x:c>
      <x:c r="I402" s="21" t="n">
        <x:v>0</x:v>
      </x:c>
    </x:row>
    <x:row r="403" ht="36" hidden="0" customHeight="1">
      <x:c r="A403" s="17" t="n">
        <x:v>403</x:v>
      </x:c>
      <x:c r="B403" s="17" t="str">
        <x:v>OP-1117</x:v>
      </x:c>
      <x:c r="C403" s="17" t="str">
        <x:v>OS-4453</x:v>
      </x:c>
      <x:c r="D403" s="17" t="str">
        <x:v>2026-04-29 12:30:00</x:v>
      </x:c>
      <x:c r="E403" s="17" t="str">
        <x:v>Johnson&amp;Johnson</x:v>
      </x:c>
      <x:c r="F403" s="17" t="str">
        <x:v>Kyle Kichline - indeterminado;
Joaquim Moreno - indeterminado;
Sarfraz Safir - indeterminado</x:v>
      </x:c>
      <x:c r="G403" s="17" t="str">
        <x:v>Concluído</x:v>
      </x:c>
      <x:c r="H403" s="17" t="str">
        <x:v>Pago</x:v>
      </x:c>
      <x:c r="I403" s="21" t="n">
        <x:v>1075</x:v>
      </x:c>
    </x:row>
    <x:row r="404" ht="24" hidden="0" customHeight="1">
      <x:c r="A404" s="17" t="n">
        <x:v>404</x:v>
      </x:c>
      <x:c r="B404" s="17" t="str">
        <x:v>OP-1092</x:v>
      </x:c>
      <x:c r="C404" s="17" t="str">
        <x:v>OS-4715</x:v>
      </x:c>
      <x:c r="D404" s="17" t="str">
        <x:v>2026-04-29 16:30:00</x:v>
      </x:c>
      <x:c r="E404" s="17" t="str">
        <x:v>Johnson&amp;Johnson</x:v>
      </x:c>
      <x:c r="F404" s="17" t="str">
        <x:v>Jeffrey Everett - indeterminado;
Christoph Gibson - indeterminado</x:v>
      </x:c>
      <x:c r="G404" s="17" t="str">
        <x:v>Concluído</x:v>
      </x:c>
      <x:c r="H404" s="17" t="str">
        <x:v>Pago</x:v>
      </x:c>
      <x:c r="I404" s="21" t="n">
        <x:v>1700.55</x:v>
      </x:c>
    </x:row>
    <x:row r="405" ht="24" hidden="0" customHeight="1">
      <x:c r="A405" s="17" t="n">
        <x:v>405</x:v>
      </x:c>
      <x:c r="B405" s="17" t="str">
        <x:v>OP-1092</x:v>
      </x:c>
      <x:c r="C405" s="17" t="str">
        <x:v>OS-4716</x:v>
      </x:c>
      <x:c r="D405" s="17" t="str">
        <x:v>2026-04-29 16:30:00</x:v>
      </x:c>
      <x:c r="E405" s="17" t="str">
        <x:v>Johnson&amp;Johnson</x:v>
      </x:c>
      <x:c r="F405" s="17" t="str">
        <x:v>Rebeca Lugo - indeterminado;
Lynn Xu - indeterminado</x:v>
      </x:c>
      <x:c r="G405" s="17" t="str">
        <x:v>Concluído</x:v>
      </x:c>
      <x:c r="H405" s="17" t="str">
        <x:v>Pago</x:v>
      </x:c>
      <x:c r="I405" s="21" t="n">
        <x:v>1700.55</x:v>
      </x:c>
    </x:row>
    <x:row r="406" ht="24" hidden="0" customHeight="1">
      <x:c r="A406" s="17" t="n">
        <x:v>406</x:v>
      </x:c>
      <x:c r="B406" s="17" t="str">
        <x:v>OP-1092</x:v>
      </x:c>
      <x:c r="C406" s="17" t="str">
        <x:v>OS-4717</x:v>
      </x:c>
      <x:c r="D406" s="17" t="str">
        <x:v>2026-04-29 16:30:00</x:v>
      </x:c>
      <x:c r="E406" s="17" t="str">
        <x:v>Johnson&amp;Johnson</x:v>
      </x:c>
      <x:c r="F406" s="17" t="str">
        <x:v>Charlotte Hebner - indeterminado;
Pamela Coleman - indeterminado</x:v>
      </x:c>
      <x:c r="G406" s="17" t="str">
        <x:v>Concluído</x:v>
      </x:c>
      <x:c r="H406" s="17" t="str">
        <x:v>Pago</x:v>
      </x:c>
      <x:c r="I406" s="21" t="n">
        <x:v>1700.55</x:v>
      </x:c>
    </x:row>
    <x:row r="407" ht="24" hidden="0" customHeight="1">
      <x:c r="A407" s="17" t="n">
        <x:v>407</x:v>
      </x:c>
      <x:c r="B407" s="17" t="str">
        <x:v>OP-1092</x:v>
      </x:c>
      <x:c r="C407" s="17" t="str">
        <x:v>OS-4718</x:v>
      </x:c>
      <x:c r="D407" s="17" t="str">
        <x:v>2026-04-29 16:30:00</x:v>
      </x:c>
      <x:c r="E407" s="17" t="str">
        <x:v>Johnson&amp;Johnson</x:v>
      </x:c>
      <x:c r="F407" s="17" t="str">
        <x:v>Padraig Hernon - indeterminado;
Wei Lu (Alex) - indeterminado</x:v>
      </x:c>
      <x:c r="G407" s="17" t="str">
        <x:v>Concluído</x:v>
      </x:c>
      <x:c r="H407" s="17" t="str">
        <x:v>Pago</x:v>
      </x:c>
      <x:c r="I407" s="21" t="n">
        <x:v>1700.55</x:v>
      </x:c>
    </x:row>
    <x:row r="408" ht="24" hidden="0" customHeight="1">
      <x:c r="A408" s="17" t="n">
        <x:v>408</x:v>
      </x:c>
      <x:c r="B408" s="17" t="str">
        <x:v>OP-1092</x:v>
      </x:c>
      <x:c r="C408" s="17" t="str">
        <x:v>OS-4719</x:v>
      </x:c>
      <x:c r="D408" s="17" t="str">
        <x:v>2026-04-29 16:30:00</x:v>
      </x:c>
      <x:c r="E408" s="17" t="str">
        <x:v>Johnson&amp;Johnson</x:v>
      </x:c>
      <x:c r="F408" s="17" t="str">
        <x:v>John Stanley - indeterminado;
Sara Flannelly - indeterminado</x:v>
      </x:c>
      <x:c r="G408" s="17" t="str">
        <x:v>Concluído</x:v>
      </x:c>
      <x:c r="H408" s="17" t="str">
        <x:v>Pago</x:v>
      </x:c>
      <x:c r="I408" s="21" t="n">
        <x:v>1700.55</x:v>
      </x:c>
    </x:row>
    <x:row r="409" ht="15" hidden="0" customHeight="1">
      <x:c r="A409" s="17" t="n">
        <x:v>409</x:v>
      </x:c>
      <x:c r="B409" s="17" t="str">
        <x:v>OP-1219</x:v>
      </x:c>
      <x:c r="C409" s="17" t="str">
        <x:v>OS-4762</x:v>
      </x:c>
      <x:c r="D409" s="17" t="str">
        <x:v>2026-04-29 17:15:00</x:v>
      </x:c>
      <x:c r="E409" s="17" t="str">
        <x:v>Embraer</x:v>
      </x:c>
      <x:c r="F409" s="17" t="str">
        <x:v>Transporte F300 - indeterminado</x:v>
      </x:c>
      <x:c r="G409" s="17" t="str">
        <x:v>Concluído</x:v>
      </x:c>
      <x:c r="H409" s="17" t="str">
        <x:v>Pago</x:v>
      </x:c>
      <x:c r="I409" s="21" t="n">
        <x:v>179.64</x:v>
      </x:c>
    </x:row>
    <x:row r="410" ht="15" hidden="0" customHeight="1">
      <x:c r="A410" s="17" t="n">
        <x:v>410</x:v>
      </x:c>
      <x:c r="B410" s="17" t="str">
        <x:v>OP-1123</x:v>
      </x:c>
      <x:c r="C410" s="17" t="str">
        <x:v>OS-4540</x:v>
      </x:c>
      <x:c r="D410" s="17" t="str">
        <x:v>2026-04-29 20:00:00</x:v>
      </x:c>
      <x:c r="E410" s="17" t="str">
        <x:v>Bundy Refrigeration</x:v>
      </x:c>
      <x:c r="F410" s="17" t="str">
        <x:v>Marcela Fernandes Calil - (12) 99170-9355</x:v>
      </x:c>
      <x:c r="G410" s="17" t="str">
        <x:v>Concluído</x:v>
      </x:c>
      <x:c r="H410" s="17" t="str">
        <x:v>Pago</x:v>
      </x:c>
      <x:c r="I410" s="21" t="n">
        <x:v>495</x:v>
      </x:c>
    </x:row>
    <x:row r="411" ht="60" hidden="0" customHeight="1">
      <x:c r="A411" s="17" t="n">
        <x:v>411</x:v>
      </x:c>
      <x:c r="B411" s="17" t="str">
        <x:v>OP-1117</x:v>
      </x:c>
      <x:c r="C411" s="17" t="str">
        <x:v>OS-4454</x:v>
      </x:c>
      <x:c r="D411" s="17" t="str">
        <x:v>2026-04-29 21:00:00</x:v>
      </x:c>
      <x:c r="E411" s="17" t="str">
        <x:v>Johnson&amp;Johnson</x:v>
      </x:c>
      <x:c r="F411" s="17" t="str">
        <x:v>Said Haddad - indeterminado;
Joaquim Moreno - indeterminado;
Sarfraz Safir - indeterminado;
Geetanjali Gamel - indeterminado;
Kyle Kichline - indeterminado</x:v>
      </x:c>
      <x:c r="G411" s="17" t="str">
        <x:v>Concluído</x:v>
      </x:c>
      <x:c r="H411" s="17" t="str">
        <x:v>Pago</x:v>
      </x:c>
      <x:c r="I411" s="21" t="n">
        <x:v>0</x:v>
      </x:c>
    </x:row>
    <x:row r="412" ht="15" hidden="0" customHeight="1">
      <x:c r="A412" s="17" t="n">
        <x:v>412</x:v>
      </x:c>
      <x:c r="B412" s="17" t="str">
        <x:v>OP-1219</x:v>
      </x:c>
      <x:c r="C412" s="17" t="str">
        <x:v>OS-4870</x:v>
      </x:c>
      <x:c r="D412" s="17" t="str">
        <x:v>2026-04-29 22:30:00</x:v>
      </x:c>
      <x:c r="E412" s="17" t="str">
        <x:v>Embraer</x:v>
      </x:c>
      <x:c r="F412" s="17" t="str">
        <x:v>Transporte F300 - indeterminado</x:v>
      </x:c>
      <x:c r="G412" s="17" t="str">
        <x:v>Concluído</x:v>
      </x:c>
      <x:c r="H412" s="17" t="str">
        <x:v>Pago</x:v>
      </x:c>
      <x:c r="I412" s="21" t="n">
        <x:v>179.64</x:v>
      </x:c>
    </x:row>
    <x:row r="413" ht="48" hidden="0" customHeight="1">
      <x:c r="A413" s="17" t="n">
        <x:v>413</x:v>
      </x:c>
      <x:c r="B413" s="17" t="str">
        <x:v>OP-1117</x:v>
      </x:c>
      <x:c r="C413" s="17" t="str">
        <x:v>OS-4451</x:v>
      </x:c>
      <x:c r="D413" s="17" t="str">
        <x:v>2026-04-30 07:00:00</x:v>
      </x:c>
      <x:c r="E413" s="17" t="str">
        <x:v>Johnson&amp;Johnson</x:v>
      </x:c>
      <x:c r="F413" s="17" t="str">
        <x:v>Said Haddad - indeterminado;
Sarfraz Safir - indeterminado;
Geetanjali Gamel - indeterminado;
Kyle Kichline - indeterminado</x:v>
      </x:c>
      <x:c r="G413" s="17" t="str">
        <x:v>Concluído</x:v>
      </x:c>
      <x:c r="H413" s="17" t="str">
        <x:v>Pago</x:v>
      </x:c>
      <x:c r="I413" s="21" t="n">
        <x:v>2492</x:v>
      </x:c>
    </x:row>
    <x:row r="414" ht="24" hidden="0" customHeight="1">
      <x:c r="A414" s="17" t="n">
        <x:v>414</x:v>
      </x:c>
      <x:c r="B414" s="17" t="str">
        <x:v>OP-1092</x:v>
      </x:c>
      <x:c r="C414" s="17" t="str">
        <x:v>OS-4737</x:v>
      </x:c>
      <x:c r="D414" s="17" t="str">
        <x:v>2026-04-30 08:00:00</x:v>
      </x:c>
      <x:c r="E414" s="17" t="str">
        <x:v>Johnson&amp;Johnson</x:v>
      </x:c>
      <x:c r="F414" s="17" t="str">
        <x:v>Rebeca Lugo - indeterminado;
Lynn Xu - indeterminado</x:v>
      </x:c>
      <x:c r="G414" s="17" t="str">
        <x:v>Concluído</x:v>
      </x:c>
      <x:c r="H414" s="17" t="str">
        <x:v>Pago</x:v>
      </x:c>
      <x:c r="I414" s="21" t="n">
        <x:v>353.11</x:v>
      </x:c>
    </x:row>
    <x:row r="415" ht="24" hidden="0" customHeight="1">
      <x:c r="A415" s="17" t="n">
        <x:v>415</x:v>
      </x:c>
      <x:c r="B415" s="17" t="str">
        <x:v>OP-1092</x:v>
      </x:c>
      <x:c r="C415" s="17" t="str">
        <x:v>OS-4739</x:v>
      </x:c>
      <x:c r="D415" s="17" t="str">
        <x:v>2026-04-30 08:00:00</x:v>
      </x:c>
      <x:c r="E415" s="17" t="str">
        <x:v>Johnson&amp;Johnson</x:v>
      </x:c>
      <x:c r="F415" s="17" t="str">
        <x:v>Padraig Hernon - indeterminado;
Wei Lu (Alex) - indeterminado</x:v>
      </x:c>
      <x:c r="G415" s="17" t="str">
        <x:v>Concluído</x:v>
      </x:c>
      <x:c r="H415" s="17" t="str">
        <x:v>Pago</x:v>
      </x:c>
      <x:c r="I415" s="21" t="n">
        <x:v>353.11</x:v>
      </x:c>
    </x:row>
    <x:row r="416" ht="24" hidden="0" customHeight="1">
      <x:c r="A416" s="17" t="n">
        <x:v>416</x:v>
      </x:c>
      <x:c r="B416" s="17" t="str">
        <x:v>OP-1092</x:v>
      </x:c>
      <x:c r="C416" s="17" t="str">
        <x:v>OS-4740</x:v>
      </x:c>
      <x:c r="D416" s="17" t="str">
        <x:v>2026-04-30 08:00:00</x:v>
      </x:c>
      <x:c r="E416" s="17" t="str">
        <x:v>Johnson&amp;Johnson</x:v>
      </x:c>
      <x:c r="F416" s="17" t="str">
        <x:v>John Stanley - indeterminado;
Sara Flannelly - indeterminado</x:v>
      </x:c>
      <x:c r="G416" s="17" t="str">
        <x:v>Concluído</x:v>
      </x:c>
      <x:c r="H416" s="17" t="str">
        <x:v>Pago</x:v>
      </x:c>
      <x:c r="I416" s="21" t="n">
        <x:v>353.11</x:v>
      </x:c>
    </x:row>
    <x:row r="417" ht="15" hidden="0" customHeight="1">
      <x:c r="A417" s="17" t="n">
        <x:v>417</x:v>
      </x:c>
      <x:c r="B417" s="17" t="str">
        <x:v>OP-1219</x:v>
      </x:c>
      <x:c r="C417" s="17" t="str">
        <x:v>OS-4777</x:v>
      </x:c>
      <x:c r="D417" s="17" t="str">
        <x:v>2026-04-30 08:30:00</x:v>
      </x:c>
      <x:c r="E417" s="17" t="str">
        <x:v>Embraer</x:v>
      </x:c>
      <x:c r="F417" s="17" t="str">
        <x:v>Agenda Embraer - somente motorista *Carro Embraer* - indeterminado</x:v>
      </x:c>
      <x:c r="G417" s="17" t="str">
        <x:v>Concluído</x:v>
      </x:c>
      <x:c r="H417" s="17" t="str">
        <x:v>Pago</x:v>
      </x:c>
      <x:c r="I417" s="21" t="n">
        <x:v>1169.63</x:v>
      </x:c>
    </x:row>
    <x:row r="418" ht="15" hidden="0" customHeight="1">
      <x:c r="A418" s="17" t="n">
        <x:v>418</x:v>
      </x:c>
      <x:c r="B418" s="17" t="str">
        <x:v>OP-1085</x:v>
      </x:c>
      <x:c r="C418" s="17" t="str">
        <x:v>9339</x:v>
      </x:c>
      <x:c r="D418" s="17" t="str">
        <x:v>2026-04-30 09:00:00</x:v>
      </x:c>
      <x:c r="E418" s="17" t="str">
        <x:v>Boeing</x:v>
      </x:c>
      <x:c r="F418" s="17" t="str">
        <x:v>Heitor Augusto Carneiro de Almeida - +55 12 99151-3853</x:v>
      </x:c>
      <x:c r="G418" s="17" t="str">
        <x:v>Concluído</x:v>
      </x:c>
      <x:c r="H418" s="17" t="str">
        <x:v>Pago</x:v>
      </x:c>
      <x:c r="I418" s="21" t="n">
        <x:v>463.05</x:v>
      </x:c>
    </x:row>
    <x:row r="419" ht="15" hidden="0" customHeight="1">
      <x:c r="A419" s="17" t="n">
        <x:v>419</x:v>
      </x:c>
      <x:c r="B419" s="17" t="str">
        <x:v>OP-1219</x:v>
      </x:c>
      <x:c r="C419" s="17" t="str">
        <x:v>OS-4779</x:v>
      </x:c>
      <x:c r="D419" s="17" t="str">
        <x:v>2026-04-30 09:15:00</x:v>
      </x:c>
      <x:c r="E419" s="17" t="str">
        <x:v>Embraer</x:v>
      </x:c>
      <x:c r="F419" s="17" t="str">
        <x:v>Transporte F300 - indeterminado</x:v>
      </x:c>
      <x:c r="G419" s="17" t="str">
        <x:v>Concluído</x:v>
      </x:c>
      <x:c r="H419" s="17" t="str">
        <x:v>Pago</x:v>
      </x:c>
      <x:c r="I419" s="21" t="n">
        <x:v>179.64</x:v>
      </x:c>
    </x:row>
    <x:row r="420" ht="24" hidden="0" customHeight="1">
      <x:c r="A420" s="17" t="n">
        <x:v>420</x:v>
      </x:c>
      <x:c r="B420" s="17" t="str">
        <x:v>OP-1092</x:v>
      </x:c>
      <x:c r="C420" s="17" t="str">
        <x:v>OS-4764</x:v>
      </x:c>
      <x:c r="D420" s="17" t="str">
        <x:v>2026-04-30 11:20:00</x:v>
      </x:c>
      <x:c r="E420" s="17" t="str">
        <x:v>Johnson&amp;Johnson</x:v>
      </x:c>
      <x:c r="F420" s="17" t="str">
        <x:v>Rebeca Lugo - indeterminado;
Lynn Xu - indeterminado</x:v>
      </x:c>
      <x:c r="G420" s="17" t="str">
        <x:v>Concluído</x:v>
      </x:c>
      <x:c r="H420" s="17" t="str">
        <x:v>Pago</x:v>
      </x:c>
      <x:c r="I420" s="21" t="n">
        <x:v>353.11</x:v>
      </x:c>
    </x:row>
    <x:row r="421" ht="24" hidden="0" customHeight="1">
      <x:c r="A421" s="17" t="n">
        <x:v>421</x:v>
      </x:c>
      <x:c r="B421" s="17" t="str">
        <x:v>OP-1092</x:v>
      </x:c>
      <x:c r="C421" s="17" t="str">
        <x:v>OS-4766</x:v>
      </x:c>
      <x:c r="D421" s="17" t="str">
        <x:v>2026-04-30 11:20:00</x:v>
      </x:c>
      <x:c r="E421" s="17" t="str">
        <x:v>Johnson&amp;Johnson</x:v>
      </x:c>
      <x:c r="F421" s="17" t="str">
        <x:v>Padraig Hernon - indeterminado;
Wei Lu (Alex) - indeterminado</x:v>
      </x:c>
      <x:c r="G421" s="17" t="str">
        <x:v>Concluído</x:v>
      </x:c>
      <x:c r="H421" s="17" t="str">
        <x:v>Pago</x:v>
      </x:c>
      <x:c r="I421" s="21" t="n">
        <x:v>340.11</x:v>
      </x:c>
    </x:row>
    <x:row r="422" ht="24" hidden="0" customHeight="1">
      <x:c r="A422" s="17" t="n">
        <x:v>422</x:v>
      </x:c>
      <x:c r="B422" s="17" t="str">
        <x:v>OP-1092</x:v>
      </x:c>
      <x:c r="C422" s="17" t="str">
        <x:v>OS-4767</x:v>
      </x:c>
      <x:c r="D422" s="17" t="str">
        <x:v>2026-04-30 11:20:00</x:v>
      </x:c>
      <x:c r="E422" s="17" t="str">
        <x:v>Johnson&amp;Johnson</x:v>
      </x:c>
      <x:c r="F422" s="17" t="str">
        <x:v>John Stanley - indeterminado;
Sara Flannelly - indeterminado</x:v>
      </x:c>
      <x:c r="G422" s="17" t="str">
        <x:v>Concluído</x:v>
      </x:c>
      <x:c r="H422" s="17" t="str">
        <x:v>Pago</x:v>
      </x:c>
      <x:c r="I422" s="21" t="n">
        <x:v>340.11</x:v>
      </x:c>
    </x:row>
    <x:row r="423" ht="15" hidden="0" customHeight="1">
      <x:c r="A423" s="17" t="n">
        <x:v>423</x:v>
      </x:c>
      <x:c r="B423" s="17" t="str">
        <x:v>OP-1117</x:v>
      </x:c>
      <x:c r="C423" s="17" t="str">
        <x:v>OS-4455</x:v>
      </x:c>
      <x:c r="D423" s="17" t="str">
        <x:v>2026-04-30 12:45:00</x:v>
      </x:c>
      <x:c r="E423" s="17" t="str">
        <x:v>Johnson&amp;Johnson</x:v>
      </x:c>
      <x:c r="F423" s="17" t="str">
        <x:v>Joaquim Moreno - indeterminado</x:v>
      </x:c>
      <x:c r="G423" s="17" t="str">
        <x:v>Concluído</x:v>
      </x:c>
      <x:c r="H423" s="17" t="str">
        <x:v>Pago</x:v>
      </x:c>
      <x:c r="I423" s="21" t="n">
        <x:v>1033.13</x:v>
      </x:c>
    </x:row>
    <x:row r="424" ht="15" hidden="0" customHeight="1">
      <x:c r="A424" s="17" t="n">
        <x:v>424</x:v>
      </x:c>
      <x:c r="B424" s="17" t="str">
        <x:v>OP-1134</x:v>
      </x:c>
      <x:c r="C424" s="17" t="str">
        <x:v>OS-4728</x:v>
      </x:c>
      <x:c r="D424" s="17" t="str">
        <x:v>2026-04-30 13:00:00</x:v>
      </x:c>
      <x:c r="E424" s="17" t="str">
        <x:v>Latasa Recicla BR</x:v>
      </x:c>
      <x:c r="F424" s="17" t="str">
        <x:v>Tiago Henrique Santos Xavier - (12) 99142-8629</x:v>
      </x:c>
      <x:c r="G424" s="17" t="str">
        <x:v>Concluído</x:v>
      </x:c>
      <x:c r="H424" s="17" t="str">
        <x:v>Pago</x:v>
      </x:c>
      <x:c r="I424" s="21" t="n">
        <x:v>315</x:v>
      </x:c>
    </x:row>
    <x:row r="425" ht="15" hidden="0" customHeight="1">
      <x:c r="A425" s="17" t="n">
        <x:v>425</x:v>
      </x:c>
      <x:c r="B425" s="17" t="str">
        <x:v>OP-1219</x:v>
      </x:c>
      <x:c r="C425" s="17" t="str">
        <x:v>OS-4786</x:v>
      </x:c>
      <x:c r="D425" s="17" t="str">
        <x:v>2026-04-30 14:00:00</x:v>
      </x:c>
      <x:c r="E425" s="17" t="str">
        <x:v>Embraer</x:v>
      </x:c>
      <x:c r="F425" s="17" t="str">
        <x:v>Herman Matip - indeterminado</x:v>
      </x:c>
      <x:c r="G425" s="17" t="str">
        <x:v>Concluído</x:v>
      </x:c>
      <x:c r="H425" s="17" t="str">
        <x:v>Pago</x:v>
      </x:c>
      <x:c r="I425" s="21" t="n">
        <x:v>179.64</x:v>
      </x:c>
    </x:row>
    <x:row r="426" ht="36" hidden="0" customHeight="1">
      <x:c r="A426" s="17" t="n">
        <x:v>426</x:v>
      </x:c>
      <x:c r="B426" s="17" t="str">
        <x:v>OP-1092</x:v>
      </x:c>
      <x:c r="C426" s="17" t="str">
        <x:v>OS-4781</x:v>
      </x:c>
      <x:c r="D426" s="17" t="str">
        <x:v>2026-04-30 16:00:00</x:v>
      </x:c>
      <x:c r="E426" s="17" t="str">
        <x:v>Johnson&amp;Johnson</x:v>
      </x:c>
      <x:c r="F426" s="17" t="str">
        <x:v>Padraig Hernon - indeterminado;
Charlotte Hebner - indeterminado;
Christoph Gibson - indeterminado</x:v>
      </x:c>
      <x:c r="G426" s="17" t="str">
        <x:v>Concluído</x:v>
      </x:c>
      <x:c r="H426" s="17" t="str">
        <x:v>Pago</x:v>
      </x:c>
      <x:c r="I426" s="21" t="n">
        <x:v>1050.43</x:v>
      </x:c>
    </x:row>
    <x:row r="427" ht="15" hidden="0" customHeight="1">
      <x:c r="A427" s="17" t="n">
        <x:v>427</x:v>
      </x:c>
      <x:c r="B427" s="17" t="str">
        <x:v>OP-1092</x:v>
      </x:c>
      <x:c r="C427" s="17" t="str">
        <x:v>OS-4772</x:v>
      </x:c>
      <x:c r="D427" s="17" t="str">
        <x:v>2026-04-30 16:00:00</x:v>
      </x:c>
      <x:c r="E427" s="17" t="str">
        <x:v>Johnson&amp;Johnson</x:v>
      </x:c>
      <x:c r="F427" s="17" t="str">
        <x:v>Wei Lu (Alex) - indeterminado</x:v>
      </x:c>
      <x:c r="G427" s="17" t="str">
        <x:v>Concluído</x:v>
      </x:c>
      <x:c r="H427" s="17" t="str">
        <x:v>Pago</x:v>
      </x:c>
      <x:c r="I427" s="21" t="n">
        <x:v>1050.43</x:v>
      </x:c>
    </x:row>
    <x:row r="428" ht="15" hidden="0" customHeight="1">
      <x:c r="A428" s="17" t="n">
        <x:v>428</x:v>
      </x:c>
      <x:c r="B428" s="17" t="str">
        <x:v>OP-1219</x:v>
      </x:c>
      <x:c r="C428" s="17" t="str">
        <x:v>OS-4785</x:v>
      </x:c>
      <x:c r="D428" s="17" t="str">
        <x:v>2026-04-30 16:15:00</x:v>
      </x:c>
      <x:c r="E428" s="17" t="str">
        <x:v>Embraer</x:v>
      </x:c>
      <x:c r="F428" s="17" t="str">
        <x:v>LEONE CARSANA GIOVANELLI - (12) 98117-7172</x:v>
      </x:c>
      <x:c r="G428" s="17" t="str">
        <x:v>Concluído</x:v>
      </x:c>
      <x:c r="H428" s="17" t="str">
        <x:v>Pago</x:v>
      </x:c>
      <x:c r="I428" s="21" t="n">
        <x:v>625.73</x:v>
      </x:c>
    </x:row>
    <x:row r="429" ht="24" hidden="0" customHeight="1">
      <x:c r="A429" s="17" t="n">
        <x:v>429</x:v>
      </x:c>
      <x:c r="B429" s="17" t="str">
        <x:v>OP-1092</x:v>
      </x:c>
      <x:c r="C429" s="17" t="str">
        <x:v>OS-4774</x:v>
      </x:c>
      <x:c r="D429" s="17" t="str">
        <x:v>2026-04-30 16:30:00</x:v>
      </x:c>
      <x:c r="E429" s="17" t="str">
        <x:v>Johnson&amp;Johnson</x:v>
      </x:c>
      <x:c r="F429" s="17" t="str">
        <x:v>Rebeca Lugo - indeterminado;
Lynn Xu - indeterminado</x:v>
      </x:c>
      <x:c r="G429" s="17" t="str">
        <x:v>Concluído</x:v>
      </x:c>
      <x:c r="H429" s="17" t="str">
        <x:v>Pago</x:v>
      </x:c>
      <x:c r="I429" s="21" t="n">
        <x:v>1700.55</x:v>
      </x:c>
    </x:row>
    <x:row r="430" ht="24" hidden="0" customHeight="1">
      <x:c r="A430" s="17" t="n">
        <x:v>430</x:v>
      </x:c>
      <x:c r="B430" s="17" t="str">
        <x:v>OP-1092</x:v>
      </x:c>
      <x:c r="C430" s="17" t="str">
        <x:v>OS-4775</x:v>
      </x:c>
      <x:c r="D430" s="17" t="str">
        <x:v>2026-04-30 16:30:00</x:v>
      </x:c>
      <x:c r="E430" s="17" t="str">
        <x:v>Johnson&amp;Johnson</x:v>
      </x:c>
      <x:c r="F430" s="17" t="str">
        <x:v>Padraig Hernon - indeterminado;
Wei Lu (Alex) - indeterminado</x:v>
      </x:c>
      <x:c r="G430" s="17" t="str">
        <x:v>Cancelado</x:v>
      </x:c>
      <x:c r="H430" s="17" t="str">
        <x:v>Cancelado Sem Taxa</x:v>
      </x:c>
      <x:c r="I430" s="21" t="n">
        <x:v>0</x:v>
      </x:c>
    </x:row>
    <x:row r="431" ht="24" hidden="0" customHeight="1">
      <x:c r="A431" s="17" t="n">
        <x:v>431</x:v>
      </x:c>
      <x:c r="B431" s="17" t="str">
        <x:v>OP-1092</x:v>
      </x:c>
      <x:c r="C431" s="17" t="str">
        <x:v>OS-4776</x:v>
      </x:c>
      <x:c r="D431" s="17" t="str">
        <x:v>2026-04-30 16:30:00</x:v>
      </x:c>
      <x:c r="E431" s="17" t="str">
        <x:v>Johnson&amp;Johnson</x:v>
      </x:c>
      <x:c r="F431" s="17" t="str">
        <x:v>John Stanley - indeterminado;
Sara Flannelly - indeterminado</x:v>
      </x:c>
      <x:c r="G431" s="17" t="str">
        <x:v>Concluído</x:v>
      </x:c>
      <x:c r="H431" s="17" t="str">
        <x:v>Pago</x:v>
      </x:c>
      <x:c r="I431" s="21" t="n">
        <x:v>1700.55</x:v>
      </x:c>
    </x:row>
    <x:row r="432" ht="24" hidden="0" customHeight="1">
      <x:c r="A432" s="17" t="n">
        <x:v>432</x:v>
      </x:c>
      <x:c r="B432" s="17" t="str">
        <x:v>OP-1092</x:v>
      </x:c>
      <x:c r="C432" s="17" t="str">
        <x:v>OS-4773</x:v>
      </x:c>
      <x:c r="D432" s="17" t="str">
        <x:v>2026-04-30 17:00:00</x:v>
      </x:c>
      <x:c r="E432" s="17" t="str">
        <x:v>Johnson&amp;Johnson</x:v>
      </x:c>
      <x:c r="F432" s="17" t="str">
        <x:v>Jeffrey Everett - indeterminado;
Pamela Coleman - indeterminado</x:v>
      </x:c>
      <x:c r="G432" s="17" t="str">
        <x:v>Concluído</x:v>
      </x:c>
      <x:c r="H432" s="17" t="str">
        <x:v>Pago</x:v>
      </x:c>
      <x:c r="I432" s="21" t="n">
        <x:v>1700.55</x:v>
      </x:c>
    </x:row>
    <x:row r="433" ht="15" hidden="0" customHeight="1">
      <x:c r="A433" s="17" t="n">
        <x:v>433</x:v>
      </x:c>
      <x:c r="B433" s="17" t="str">
        <x:v>OP-1219</x:v>
      </x:c>
      <x:c r="C433" s="17" t="str">
        <x:v>OS-4784</x:v>
      </x:c>
      <x:c r="D433" s="17" t="str">
        <x:v>2026-04-30 17:00:00</x:v>
      </x:c>
      <x:c r="E433" s="17" t="str">
        <x:v>Embraer</x:v>
      </x:c>
      <x:c r="F433" s="17" t="str">
        <x:v>SERGIO ALVAREZ GONZALEZ - (12) 99147-7942</x:v>
      </x:c>
      <x:c r="G433" s="17" t="str">
        <x:v>Concluído</x:v>
      </x:c>
      <x:c r="H433" s="17" t="str">
        <x:v>Pago</x:v>
      </x:c>
      <x:c r="I433" s="21" t="n">
        <x:v>464.1</x:v>
      </x:c>
    </x:row>
    <x:row r="434" ht="24" hidden="0" customHeight="1">
      <x:c r="A434" s="17" t="n">
        <x:v>434</x:v>
      </x:c>
      <x:c r="B434" s="17" t="str">
        <x:v>OP-1219</x:v>
      </x:c>
      <x:c r="C434" s="17" t="str">
        <x:v>OS-4780</x:v>
      </x:c>
      <x:c r="D434" s="17" t="str">
        <x:v>2026-04-30 20:15:00</x:v>
      </x:c>
      <x:c r="E434" s="17" t="str">
        <x:v>Embraer</x:v>
      </x:c>
      <x:c r="F434" s="17" t="str">
        <x:v>ALESSANDRA DAS GRACAS PORTELA RODRIGUEZ - (12) 98138-1381;
CARLOS ALEXANDRE CENDRETTE - (12)9156-9382</x:v>
      </x:c>
      <x:c r="G434" s="17" t="str">
        <x:v>Concluído</x:v>
      </x:c>
      <x:c r="H434" s="17" t="str">
        <x:v>Pago</x:v>
      </x:c>
      <x:c r="I434" s="21" t="n">
        <x:v>569.89</x:v>
      </x:c>
    </x:row>
    <x:row r="435" ht="15" hidden="0" customHeight="1">
      <x:c r="A435" s="17" t="n">
        <x:v>435</x:v>
      </x:c>
      <x:c r="B435" s="17" t="str">
        <x:v>OP-1095</x:v>
      </x:c>
      <x:c r="C435" s="17" t="str">
        <x:v>OS-4538</x:v>
      </x:c>
      <x:c r="D435" s="17" t="str">
        <x:v>2026-04-30 23:45:00</x:v>
      </x:c>
      <x:c r="E435" s="17" t="str">
        <x:v>Particular</x:v>
      </x:c>
      <x:c r="F435" s="17" t="str">
        <x:v>Mariana de Souza Bittencourt de Carvalho  - 12 99758-2917</x:v>
      </x:c>
      <x:c r="G435" s="17" t="str">
        <x:v>Concluído</x:v>
      </x:c>
      <x:c r="H435" s="17" t="str">
        <x:v>Pago</x:v>
      </x:c>
      <x:c r="I435" s="21" t="n">
        <x:v>615.33</x:v>
      </x:c>
    </x:row>
    <x:row r="436" ht="15" hidden="0" customHeight="1">
      <x:c r="A436" s="17" t="n">
        <x:v>436</x:v>
      </x:c>
      <x:c r="B436" s="17" t="str">
        <x:v>OP-1316</x:v>
      </x:c>
      <x:c r="C436" s="17" t="str">
        <x:v>OS-4811</x:v>
      </x:c>
      <x:c r="D436" s="17" t="str">
        <x:v>2026-05-01 05:30:00</x:v>
      </x:c>
      <x:c r="E436" s="17" t="str">
        <x:v>Johnson&amp;Johnson</x:v>
      </x:c>
      <x:c r="F436" s="17" t="str">
        <x:v>Thiago Morandini  - +55 12 99173-7341</x:v>
      </x:c>
      <x:c r="G436" s="17" t="str">
        <x:v>Concluído</x:v>
      </x:c>
      <x:c r="H436" s="17" t="str">
        <x:v>Pagamento Pendente</x:v>
      </x:c>
      <x:c r="I436" s="21" t="n">
        <x:v>1360</x:v>
      </x:c>
    </x:row>
    <x:row r="437" ht="15" hidden="0" customHeight="1">
      <x:c r="A437" s="17" t="n">
        <x:v>437</x:v>
      </x:c>
      <x:c r="B437" s="17" t="str">
        <x:v>OP-1097</x:v>
      </x:c>
      <x:c r="C437" s="17" t="str">
        <x:v>OS-4731</x:v>
      </x:c>
      <x:c r="D437" s="17" t="str">
        <x:v>2026-05-01 07:10:00</x:v>
      </x:c>
      <x:c r="E437" s="17" t="str">
        <x:v>Johnson&amp;Johnson</x:v>
      </x:c>
      <x:c r="F437" s="17" t="str">
        <x:v>Gustavo Militão - +55 12 99147-2119</x:v>
      </x:c>
      <x:c r="G437" s="17" t="str">
        <x:v>Concluído</x:v>
      </x:c>
      <x:c r="H437" s="17" t="str">
        <x:v>Pago</x:v>
      </x:c>
      <x:c r="I437" s="21" t="n">
        <x:v>558.86</x:v>
      </x:c>
    </x:row>
    <x:row r="438" ht="15" hidden="0" customHeight="1">
      <x:c r="A438" s="17" t="n">
        <x:v>438</x:v>
      </x:c>
      <x:c r="B438" s="17" t="str">
        <x:v>OP-1094</x:v>
      </x:c>
      <x:c r="C438" s="17" t="str">
        <x:v>OS-4462</x:v>
      </x:c>
      <x:c r="D438" s="17" t="str">
        <x:v>2026-05-01 20:00:00</x:v>
      </x:c>
      <x:c r="E438" s="17" t="str">
        <x:v>Boeing</x:v>
      </x:c>
      <x:c r="F438" s="17" t="str">
        <x:v>Mario Henrique Voigt Stumpf - +55 12 98112-8849</x:v>
      </x:c>
      <x:c r="G438" s="17" t="str">
        <x:v>Concluído</x:v>
      </x:c>
      <x:c r="H438" s="17" t="str">
        <x:v>Pago</x:v>
      </x:c>
      <x:c r="I438" s="21" t="n">
        <x:v>463.05</x:v>
      </x:c>
    </x:row>
    <x:row r="439" ht="15" hidden="0" customHeight="1">
      <x:c r="A439" s="17" t="n">
        <x:v>439</x:v>
      </x:c>
      <x:c r="B439" s="17" t="str">
        <x:v>OP-1109</x:v>
      </x:c>
      <x:c r="C439" s="17" t="str">
        <x:v>OS-4463</x:v>
      </x:c>
      <x:c r="D439" s="17" t="str">
        <x:v>2026-05-01 23:15:00</x:v>
      </x:c>
      <x:c r="E439" s="17" t="str">
        <x:v>Johnson&amp;Johnson</x:v>
      </x:c>
      <x:c r="F439" s="17" t="str">
        <x:v>Cinthia Oliveira - +55 12 98179-1900</x:v>
      </x:c>
      <x:c r="G439" s="17" t="str">
        <x:v>Concluído</x:v>
      </x:c>
      <x:c r="H439" s="17" t="str">
        <x:v>Pago</x:v>
      </x:c>
      <x:c r="I439" s="21" t="n">
        <x:v>491.86</x:v>
      </x:c>
    </x:row>
    <x:row r="440" ht="15" hidden="0" customHeight="1">
      <x:c r="A440" s="17" t="n">
        <x:v>440</x:v>
      </x:c>
      <x:c r="B440" s="17" t="str">
        <x:v>OP-1138</x:v>
      </x:c>
      <x:c r="C440" s="17" t="str">
        <x:v>OS-4664</x:v>
      </x:c>
      <x:c r="D440" s="17" t="str">
        <x:v>2026-05-02 04:30:00</x:v>
      </x:c>
      <x:c r="E440" s="17" t="str">
        <x:v>Johnson&amp;Johnson</x:v>
      </x:c>
      <x:c r="F440" s="17" t="str">
        <x:v>Aline Galdieri - +551299165-5286</x:v>
      </x:c>
      <x:c r="G440" s="17" t="str">
        <x:v>Concluído</x:v>
      </x:c>
      <x:c r="H440" s="17" t="str">
        <x:v>Pago</x:v>
      </x:c>
      <x:c r="I440" s="21" t="n">
        <x:v>442.98</x:v>
      </x:c>
    </x:row>
    <x:row r="441" ht="15" hidden="0" customHeight="1">
      <x:c r="A441" s="17" t="n">
        <x:v>441</x:v>
      </x:c>
      <x:c r="B441" s="17" t="str">
        <x:v>OP-1103</x:v>
      </x:c>
      <x:c r="C441" s="17" t="str">
        <x:v>OS-4672</x:v>
      </x:c>
      <x:c r="D441" s="17" t="str">
        <x:v>2026-05-02 05:40:00</x:v>
      </x:c>
      <x:c r="E441" s="17" t="str">
        <x:v>Johnson&amp;Johnson</x:v>
      </x:c>
      <x:c r="F441" s="17" t="str">
        <x:v>Janice Bequette - indeterminado</x:v>
      </x:c>
      <x:c r="G441" s="17" t="str">
        <x:v>Concluído</x:v>
      </x:c>
      <x:c r="H441" s="17" t="str">
        <x:v>Pago</x:v>
      </x:c>
      <x:c r="I441" s="21" t="n">
        <x:v>576.42</x:v>
      </x:c>
    </x:row>
    <x:row r="442" ht="15" hidden="0" customHeight="1">
      <x:c r="A442" s="17" t="n">
        <x:v>442</x:v>
      </x:c>
      <x:c r="B442" s="17" t="str">
        <x:v>OP-1111</x:v>
      </x:c>
      <x:c r="C442" s="17" t="str">
        <x:v>OS-4554</x:v>
      </x:c>
      <x:c r="D442" s="17" t="str">
        <x:v>2026-05-02 06:15:00</x:v>
      </x:c>
      <x:c r="E442" s="17" t="str">
        <x:v>Boeing</x:v>
      </x:c>
      <x:c r="F442" s="17" t="str">
        <x:v>Fabio Truffa - indeterminado</x:v>
      </x:c>
      <x:c r="G442" s="17" t="str">
        <x:v>Concluído</x:v>
      </x:c>
      <x:c r="H442" s="17" t="str">
        <x:v>Pago</x:v>
      </x:c>
      <x:c r="I442" s="21" t="n">
        <x:v>463.05</x:v>
      </x:c>
    </x:row>
    <x:row r="443" ht="15" hidden="0" customHeight="1">
      <x:c r="A443" s="17" t="n">
        <x:v>443</x:v>
      </x:c>
      <x:c r="B443" s="17" t="str">
        <x:v>OP-1103</x:v>
      </x:c>
      <x:c r="C443" s="17" t="str">
        <x:v>OS-4673</x:v>
      </x:c>
      <x:c r="D443" s="17" t="str">
        <x:v>2026-05-02 09:00:00</x:v>
      </x:c>
      <x:c r="E443" s="17" t="str">
        <x:v>Johnson&amp;Johnson</x:v>
      </x:c>
      <x:c r="F443" s="17" t="str">
        <x:v>Kimberly Miller - indeterminado</x:v>
      </x:c>
      <x:c r="G443" s="17" t="str">
        <x:v>Concluído</x:v>
      </x:c>
      <x:c r="H443" s="17" t="str">
        <x:v>Pago</x:v>
      </x:c>
      <x:c r="I443" s="21" t="n">
        <x:v>576.42</x:v>
      </x:c>
    </x:row>
    <x:row r="444" ht="15" hidden="0" customHeight="1">
      <x:c r="A444" s="17" t="n">
        <x:v>444</x:v>
      </x:c>
      <x:c r="B444" s="17" t="str">
        <x:v>OP-1096</x:v>
      </x:c>
      <x:c r="C444" s="17" t="str">
        <x:v>OS-4199</x:v>
      </x:c>
      <x:c r="D444" s="17" t="str">
        <x:v>2026-05-02 09:30:00</x:v>
      </x:c>
      <x:c r="E444" s="17" t="str">
        <x:v>Boeing</x:v>
      </x:c>
      <x:c r="F444" s="17" t="str">
        <x:v>Leandro Leite - +55 11 994985360</x:v>
      </x:c>
      <x:c r="G444" s="17" t="str">
        <x:v>Concluído</x:v>
      </x:c>
      <x:c r="H444" s="17" t="str">
        <x:v>Pago</x:v>
      </x:c>
      <x:c r="I444" s="21" t="n">
        <x:v>512.97</x:v>
      </x:c>
    </x:row>
    <x:row r="445" ht="15" hidden="0" customHeight="1">
      <x:c r="A445" s="17" t="n">
        <x:v>445</x:v>
      </x:c>
      <x:c r="B445" s="17" t="str">
        <x:v>OP-1093</x:v>
      </x:c>
      <x:c r="C445" s="17" t="str">
        <x:v>OS-4348</x:v>
      </x:c>
      <x:c r="D445" s="17" t="str">
        <x:v>2026-05-02 09:30:00</x:v>
      </x:c>
      <x:c r="E445" s="17" t="str">
        <x:v>Boeing</x:v>
      </x:c>
      <x:c r="F445" s="17" t="str">
        <x:v>Vinicius Mancini  - (12) 98202-4348</x:v>
      </x:c>
      <x:c r="G445" s="17" t="str">
        <x:v>Concluído</x:v>
      </x:c>
      <x:c r="H445" s="17" t="str">
        <x:v>Pago</x:v>
      </x:c>
      <x:c r="I445" s="21" t="n">
        <x:v>463.05</x:v>
      </x:c>
    </x:row>
    <x:row r="446" ht="15" hidden="0" customHeight="1">
      <x:c r="A446" s="17" t="n">
        <x:v>446</x:v>
      </x:c>
      <x:c r="B446" s="17" t="str">
        <x:v>OP-1134</x:v>
      </x:c>
      <x:c r="C446" s="17" t="str">
        <x:v>OS-4816</x:v>
      </x:c>
      <x:c r="D446" s="17" t="str">
        <x:v>2026-05-02 13:00:00</x:v>
      </x:c>
      <x:c r="E446" s="17" t="str">
        <x:v>Latasa Recicla BR</x:v>
      </x:c>
      <x:c r="F446" s="17" t="str">
        <x:v>Adilson Lopes Monteiro - (12) 98179-0152</x:v>
      </x:c>
      <x:c r="G446" s="17" t="str">
        <x:v>Concluído</x:v>
      </x:c>
      <x:c r="H446" s="17" t="str">
        <x:v>Pago</x:v>
      </x:c>
      <x:c r="I446" s="21" t="n">
        <x:v>89</x:v>
      </x:c>
    </x:row>
    <x:row r="447" ht="15" hidden="0" customHeight="1">
      <x:c r="A447" s="17" t="n">
        <x:v>447</x:v>
      </x:c>
      <x:c r="B447" s="17" t="str">
        <x:v>OP-1134</x:v>
      </x:c>
      <x:c r="C447" s="17" t="str">
        <x:v>OS-4817</x:v>
      </x:c>
      <x:c r="D447" s="17" t="str">
        <x:v>2026-05-02 13:00:00</x:v>
      </x:c>
      <x:c r="E447" s="17" t="str">
        <x:v>Latasa Recicla BR</x:v>
      </x:c>
      <x:c r="F447" s="17" t="str">
        <x:v>Tiago Henrique Santos Xavier - (12) 99142-8629</x:v>
      </x:c>
      <x:c r="G447" s="17" t="str">
        <x:v>Concluído</x:v>
      </x:c>
      <x:c r="H447" s="17" t="str">
        <x:v>Pago</x:v>
      </x:c>
      <x:c r="I447" s="21" t="n">
        <x:v>390</x:v>
      </x:c>
    </x:row>
    <x:row r="448" ht="15" hidden="0" customHeight="1">
      <x:c r="A448" s="17" t="n">
        <x:v>448</x:v>
      </x:c>
      <x:c r="B448" s="17" t="str">
        <x:v>OP-1187</x:v>
      </x:c>
      <x:c r="C448" s="17" t="str">
        <x:v>OS-5112</x:v>
      </x:c>
      <x:c r="D448" s="17" t="str">
        <x:v>2026-05-02 15:00:00</x:v>
      </x:c>
      <x:c r="E448" s="17" t="str">
        <x:v>Johnson&amp;Johnson</x:v>
      </x:c>
      <x:c r="F448" s="17" t="str">
        <x:v>Alberto Cardoso - +55 12 99629-4747</x:v>
      </x:c>
      <x:c r="G448" s="17" t="str">
        <x:v>Confirmado</x:v>
      </x:c>
      <x:c r="H448" s="17" t="str">
        <x:v>Pago</x:v>
      </x:c>
      <x:c r="I448" s="21" t="n">
        <x:v>139.58</x:v>
      </x:c>
    </x:row>
    <x:row r="449" ht="15" hidden="0" customHeight="1">
      <x:c r="A449" s="17" t="n">
        <x:v>449</x:v>
      </x:c>
      <x:c r="B449" s="17" t="str">
        <x:v>OP-1112</x:v>
      </x:c>
      <x:c r="C449" s="17" t="str">
        <x:v>OS-4837</x:v>
      </x:c>
      <x:c r="D449" s="17" t="str">
        <x:v>2026-05-02 17:00:00</x:v>
      </x:c>
      <x:c r="E449" s="17" t="str">
        <x:v>Boeing</x:v>
      </x:c>
      <x:c r="F449" s="17" t="str">
        <x:v>Fabio Carvalho - 12-98804-6430</x:v>
      </x:c>
      <x:c r="G449" s="17" t="str">
        <x:v>Concluído</x:v>
      </x:c>
      <x:c r="H449" s="17" t="str">
        <x:v>Pago</x:v>
      </x:c>
      <x:c r="I449" s="21" t="n">
        <x:v>396.05</x:v>
      </x:c>
    </x:row>
    <x:row r="450" ht="15" hidden="0" customHeight="1">
      <x:c r="A450" s="17" t="n">
        <x:v>450</x:v>
      </x:c>
      <x:c r="B450" s="17" t="str">
        <x:v>OP-1105</x:v>
      </x:c>
      <x:c r="C450" s="17" t="str">
        <x:v>OS-4839</x:v>
      </x:c>
      <x:c r="D450" s="17" t="str">
        <x:v>2026-05-02 20:40:00</x:v>
      </x:c>
      <x:c r="E450" s="17" t="str">
        <x:v>Particular</x:v>
      </x:c>
      <x:c r="F450" s="17" t="str">
        <x:v>Michael Richardson Bach - +1 7815769024</x:v>
      </x:c>
      <x:c r="G450" s="17" t="str">
        <x:v>Concluído</x:v>
      </x:c>
      <x:c r="H450" s="17" t="str">
        <x:v>Pago</x:v>
      </x:c>
      <x:c r="I450" s="21" t="n">
        <x:v>496</x:v>
      </x:c>
    </x:row>
    <x:row r="451" ht="15" hidden="0" customHeight="1">
      <x:c r="A451" s="17" t="n">
        <x:v>451</x:v>
      </x:c>
      <x:c r="B451" s="17" t="str">
        <x:v>OP-1102</x:v>
      </x:c>
      <x:c r="C451" s="17" t="str">
        <x:v>OS-4605</x:v>
      </x:c>
      <x:c r="D451" s="17" t="str">
        <x:v>2026-05-02 23:50:00</x:v>
      </x:c>
      <x:c r="E451" s="17" t="str">
        <x:v>Kenvue</x:v>
      </x:c>
      <x:c r="F451" s="17" t="str">
        <x:v>Juan Carlos Muñoz Gonzales - indeterminado</x:v>
      </x:c>
      <x:c r="G451" s="17" t="str">
        <x:v>Concluído</x:v>
      </x:c>
      <x:c r="H451" s="17" t="str">
        <x:v>Pago</x:v>
      </x:c>
      <x:c r="I451" s="21" t="n">
        <x:v>496.35</x:v>
      </x:c>
    </x:row>
    <x:row r="452" ht="15" hidden="0" customHeight="1">
      <x:c r="A452" s="17" t="n">
        <x:v>452</x:v>
      </x:c>
      <x:c r="B452" s="17" t="str">
        <x:v>OP-1140</x:v>
      </x:c>
      <x:c r="C452" s="17" t="str">
        <x:v>OS-4846</x:v>
      </x:c>
      <x:c r="D452" s="17" t="str">
        <x:v>2026-05-03 04:40:00</x:v>
      </x:c>
      <x:c r="E452" s="17" t="str">
        <x:v>Johnson&amp;Johnson</x:v>
      </x:c>
      <x:c r="F452" s="17" t="str">
        <x:v>Antonio Amaro - indeterminado</x:v>
      </x:c>
      <x:c r="G452" s="17" t="str">
        <x:v>Concluído</x:v>
      </x:c>
      <x:c r="H452" s="17" t="str">
        <x:v>Pago</x:v>
      </x:c>
      <x:c r="I452" s="21" t="n">
        <x:v>442.98</x:v>
      </x:c>
    </x:row>
    <x:row r="453" ht="36" hidden="0" customHeight="1">
      <x:c r="A453" s="17" t="n">
        <x:v>453</x:v>
      </x:c>
      <x:c r="B453" s="17" t="str">
        <x:v>OP-1104</x:v>
      </x:c>
      <x:c r="C453" s="17" t="str">
        <x:v>OS-4792</x:v>
      </x:c>
      <x:c r="D453" s="17" t="str">
        <x:v>2026-05-03 05:25:00</x:v>
      </x:c>
      <x:c r="E453" s="17" t="str">
        <x:v>Kenvue</x:v>
      </x:c>
      <x:c r="F453" s="17" t="str">
        <x:v>Carlos Flores - indeterminado;
Rafael Garcia - indeterminado;
Margarita Marti-Lopez - indeterminado</x:v>
      </x:c>
      <x:c r="G453" s="17" t="str">
        <x:v>Concluído</x:v>
      </x:c>
      <x:c r="H453" s="17" t="str">
        <x:v>Pago</x:v>
      </x:c>
      <x:c r="I453" s="21" t="n">
        <x:v>496.35</x:v>
      </x:c>
    </x:row>
    <x:row r="454" ht="15" hidden="0" customHeight="1">
      <x:c r="A454" s="17" t="n">
        <x:v>454</x:v>
      </x:c>
      <x:c r="B454" s="17" t="str">
        <x:v>OP-1101</x:v>
      </x:c>
      <x:c r="C454" s="17" t="str">
        <x:v>OS-4852</x:v>
      </x:c>
      <x:c r="D454" s="17" t="str">
        <x:v>2026-05-03 09:00:00</x:v>
      </x:c>
      <x:c r="E454" s="17" t="str">
        <x:v>Particular</x:v>
      </x:c>
      <x:c r="F454" s="17" t="str">
        <x:v>Carlos Balieiro - ‪+1 (647) 861‑3010‬</x:v>
      </x:c>
      <x:c r="G454" s="17" t="str">
        <x:v>Concluído</x:v>
      </x:c>
      <x:c r="H454" s="17" t="str">
        <x:v>Pago</x:v>
      </x:c>
      <x:c r="I454" s="21" t="n">
        <x:v>496</x:v>
      </x:c>
    </x:row>
    <x:row r="455" ht="24" hidden="0" customHeight="1">
      <x:c r="A455" s="17" t="n">
        <x:v>455</x:v>
      </x:c>
      <x:c r="B455" s="17" t="str">
        <x:v>OP-1153</x:v>
      </x:c>
      <x:c r="C455" s="17" t="str">
        <x:v>OS-4386</x:v>
      </x:c>
      <x:c r="D455" s="17" t="str">
        <x:v>2026-05-03 15:00:00</x:v>
      </x:c>
      <x:c r="E455" s="17" t="str">
        <x:v>Boeing</x:v>
      </x:c>
      <x:c r="F455" s="17" t="str">
        <x:v>Julio Cesar Parquet Bizarria  - (12) 98282 0106;
Evandro Fernandes Ledema - (65) 99234-8705</x:v>
      </x:c>
      <x:c r="G455" s="17" t="str">
        <x:v>Concluído</x:v>
      </x:c>
      <x:c r="H455" s="17" t="str">
        <x:v>Pago</x:v>
      </x:c>
      <x:c r="I455" s="21" t="n">
        <x:v>546.05</x:v>
      </x:c>
    </x:row>
    <x:row r="456" ht="15" hidden="0" customHeight="1">
      <x:c r="A456" s="17" t="n">
        <x:v>456</x:v>
      </x:c>
      <x:c r="B456" s="17" t="str">
        <x:v>OP-1103</x:v>
      </x:c>
      <x:c r="C456" s="17" t="str">
        <x:v>OS-4674</x:v>
      </x:c>
      <x:c r="D456" s="17" t="str">
        <x:v>2026-05-03 16:00:00</x:v>
      </x:c>
      <x:c r="E456" s="17" t="str">
        <x:v>Johnson&amp;Johnson</x:v>
      </x:c>
      <x:c r="F456" s="17" t="str">
        <x:v>Freddy Soto - indeterminado</x:v>
      </x:c>
      <x:c r="G456" s="17" t="str">
        <x:v>Concluído</x:v>
      </x:c>
      <x:c r="H456" s="17" t="str">
        <x:v>Pago</x:v>
      </x:c>
      <x:c r="I456" s="21" t="n">
        <x:v>576.42</x:v>
      </x:c>
    </x:row>
    <x:row r="457" ht="15" hidden="0" customHeight="1">
      <x:c r="A457" s="17" t="n">
        <x:v>457</x:v>
      </x:c>
      <x:c r="B457" s="17" t="str">
        <x:v>OP-1115</x:v>
      </x:c>
      <x:c r="C457" s="17" t="str">
        <x:v>OS-4734</x:v>
      </x:c>
      <x:c r="D457" s="17" t="str">
        <x:v>2026-05-03 17:00:00</x:v>
      </x:c>
      <x:c r="E457" s="17" t="str">
        <x:v>Kenvue</x:v>
      </x:c>
      <x:c r="F457" s="17" t="str">
        <x:v>José Francisco Leonelli Júnior - +55 12 99153-0712</x:v>
      </x:c>
      <x:c r="G457" s="17" t="str">
        <x:v>Concluído</x:v>
      </x:c>
      <x:c r="H457" s="17" t="str">
        <x:v>Pago</x:v>
      </x:c>
      <x:c r="I457" s="21" t="n">
        <x:v>568.93</x:v>
      </x:c>
    </x:row>
    <x:row r="458" ht="15" hidden="0" customHeight="1">
      <x:c r="A458" s="17" t="n">
        <x:v>458</x:v>
      </x:c>
      <x:c r="B458" s="17" t="str">
        <x:v>OP-1107</x:v>
      </x:c>
      <x:c r="C458" s="17" t="str">
        <x:v>OS-4819</x:v>
      </x:c>
      <x:c r="D458" s="17" t="str">
        <x:v>2026-05-03 17:40:00</x:v>
      </x:c>
      <x:c r="E458" s="17" t="str">
        <x:v>Johnson&amp;Johnson</x:v>
      </x:c>
      <x:c r="F458" s="17" t="str">
        <x:v>Eveline Chicaroni - (12)99101-6470 / +55 12 3932-1672</x:v>
      </x:c>
      <x:c r="G458" s="17" t="str">
        <x:v>Concluído</x:v>
      </x:c>
      <x:c r="H458" s="17" t="str">
        <x:v>Pago</x:v>
      </x:c>
      <x:c r="I458" s="21" t="n">
        <x:v>442.98</x:v>
      </x:c>
    </x:row>
    <x:row r="459" ht="15" hidden="0" customHeight="1">
      <x:c r="A459" s="17" t="n">
        <x:v>459</x:v>
      </x:c>
      <x:c r="B459" s="17" t="str">
        <x:v>OP-1126</x:v>
      </x:c>
      <x:c r="C459" s="17" t="str">
        <x:v>OS-4821</x:v>
      </x:c>
      <x:c r="D459" s="17" t="str">
        <x:v>2026-05-03 18:00:00</x:v>
      </x:c>
      <x:c r="E459" s="17" t="str">
        <x:v>Johnson&amp;Johnson</x:v>
      </x:c>
      <x:c r="F459" s="17" t="str">
        <x:v>Marcos Vinicius dos Santos - (12) 99783-8214</x:v>
      </x:c>
      <x:c r="G459" s="17" t="str">
        <x:v>Concluído</x:v>
      </x:c>
      <x:c r="H459" s="17" t="str">
        <x:v>Pago</x:v>
      </x:c>
      <x:c r="I459" s="21" t="n">
        <x:v>491.86</x:v>
      </x:c>
    </x:row>
    <x:row r="460" ht="24" hidden="0" customHeight="1">
      <x:c r="A460" s="17" t="n">
        <x:v>460</x:v>
      </x:c>
      <x:c r="B460" s="17" t="str">
        <x:v>OP-1110</x:v>
      </x:c>
      <x:c r="C460" s="17" t="str">
        <x:v>OS-4741</x:v>
      </x:c>
      <x:c r="D460" s="17" t="str">
        <x:v>2026-05-04 02:30:00</x:v>
      </x:c>
      <x:c r="E460" s="17" t="str">
        <x:v>Johnson&amp;Johnson</x:v>
      </x:c>
      <x:c r="F460" s="17" t="str">
        <x:v>Cesar Augusto Peixoto Lima - +55 12 99232-6296 ;
Giulia do Lago - +55 12 98122-8114</x:v>
      </x:c>
      <x:c r="G460" s="17" t="str">
        <x:v>Concluído</x:v>
      </x:c>
      <x:c r="H460" s="17" t="str">
        <x:v>Pago</x:v>
      </x:c>
      <x:c r="I460" s="21" t="n">
        <x:v>652.37</x:v>
      </x:c>
    </x:row>
    <x:row r="461" ht="15" hidden="0" customHeight="1">
      <x:c r="A461" s="17" t="n">
        <x:v>461</x:v>
      </x:c>
      <x:c r="B461" s="17" t="str">
        <x:v>OP-1098</x:v>
      </x:c>
      <x:c r="C461" s="17" t="str">
        <x:v>OS-4720</x:v>
      </x:c>
      <x:c r="D461" s="17" t="str">
        <x:v>2026-05-04 05:00:00</x:v>
      </x:c>
      <x:c r="E461" s="17" t="str">
        <x:v>Vertical Aerospace Group Ltd.</x:v>
      </x:c>
      <x:c r="F461" s="17" t="str">
        <x:v>Michael Cervenka - indeterminado</x:v>
      </x:c>
      <x:c r="G461" s="17" t="str">
        <x:v>Concluído</x:v>
      </x:c>
      <x:c r="H461" s="17" t="str">
        <x:v>Pago</x:v>
      </x:c>
      <x:c r="I461" s="21" t="n">
        <x:v>687.49</x:v>
      </x:c>
    </x:row>
    <x:row r="462" ht="15" hidden="0" customHeight="1">
      <x:c r="A462" s="17" t="n">
        <x:v>462</x:v>
      </x:c>
      <x:c r="B462" s="17" t="str">
        <x:v>OP-1099</x:v>
      </x:c>
      <x:c r="C462" s="17" t="str">
        <x:v>OS-4501</x:v>
      </x:c>
      <x:c r="D462" s="17" t="str">
        <x:v>2026-05-04 05:30:00</x:v>
      </x:c>
      <x:c r="E462" s="17" t="str">
        <x:v>Johnson&amp;Johnson</x:v>
      </x:c>
      <x:c r="F462" s="17" t="str">
        <x:v>Veronica Bond - indeterminado</x:v>
      </x:c>
      <x:c r="G462" s="17" t="str">
        <x:v>Concluído</x:v>
      </x:c>
      <x:c r="H462" s="17" t="str">
        <x:v>Pago</x:v>
      </x:c>
      <x:c r="I462" s="21" t="n">
        <x:v>780.56</x:v>
      </x:c>
    </x:row>
    <x:row r="463" ht="15" hidden="0" customHeight="1">
      <x:c r="A463" s="17" t="n">
        <x:v>463</x:v>
      </x:c>
      <x:c r="B463" s="17" t="str">
        <x:v>OP-1099</x:v>
      </x:c>
      <x:c r="C463" s="17" t="str">
        <x:v>OS-4503</x:v>
      </x:c>
      <x:c r="D463" s="17" t="str">
        <x:v>2026-05-04 05:30:00</x:v>
      </x:c>
      <x:c r="E463" s="17" t="str">
        <x:v>Johnson&amp;Johnson</x:v>
      </x:c>
      <x:c r="F463" s="17" t="str">
        <x:v>David Mckimm - indeterminado</x:v>
      </x:c>
      <x:c r="G463" s="17" t="str">
        <x:v>Concluído</x:v>
      </x:c>
      <x:c r="H463" s="17" t="str">
        <x:v>Pago</x:v>
      </x:c>
      <x:c r="I463" s="21" t="n">
        <x:v>780.56</x:v>
      </x:c>
    </x:row>
    <x:row r="464" ht="15" hidden="0" customHeight="1">
      <x:c r="A464" s="17" t="n">
        <x:v>464</x:v>
      </x:c>
      <x:c r="B464" s="17" t="str">
        <x:v>OP-1135</x:v>
      </x:c>
      <x:c r="C464" s="17" t="str">
        <x:v>OS-4863</x:v>
      </x:c>
      <x:c r="D464" s="17" t="str">
        <x:v>2026-05-04 05:30:00</x:v>
      </x:c>
      <x:c r="E464" s="17" t="str">
        <x:v>Particular</x:v>
      </x:c>
      <x:c r="F464" s="17" t="str">
        <x:v>Giuliana - +55 12 98118-1114</x:v>
      </x:c>
      <x:c r="G464" s="17" t="str">
        <x:v>Concluído</x:v>
      </x:c>
      <x:c r="H464" s="17" t="str">
        <x:v>Pago</x:v>
      </x:c>
      <x:c r="I464" s="21" t="n">
        <x:v>590</x:v>
      </x:c>
    </x:row>
    <x:row r="465" ht="15" hidden="0" customHeight="1">
      <x:c r="A465" s="17" t="n">
        <x:v>465</x:v>
      </x:c>
      <x:c r="B465" s="17" t="str">
        <x:v>OP-1099</x:v>
      </x:c>
      <x:c r="C465" s="17" t="str">
        <x:v>OS-4500</x:v>
      </x:c>
      <x:c r="D465" s="17" t="str">
        <x:v>2026-05-04 06:30:00</x:v>
      </x:c>
      <x:c r="E465" s="17" t="str">
        <x:v>Johnson&amp;Johnson</x:v>
      </x:c>
      <x:c r="F465" s="17" t="str">
        <x:v>Anne Pajaud - indeterminado</x:v>
      </x:c>
      <x:c r="G465" s="17" t="str">
        <x:v>Concluído</x:v>
      </x:c>
      <x:c r="H465" s="17" t="str">
        <x:v>Pago</x:v>
      </x:c>
      <x:c r="I465" s="21" t="n">
        <x:v>780.56</x:v>
      </x:c>
    </x:row>
    <x:row r="466" ht="15" hidden="0" customHeight="1">
      <x:c r="A466" s="17" t="n">
        <x:v>466</x:v>
      </x:c>
      <x:c r="B466" s="17" t="str">
        <x:v>OP-1099</x:v>
      </x:c>
      <x:c r="C466" s="17" t="str">
        <x:v>OS-4502</x:v>
      </x:c>
      <x:c r="D466" s="17" t="str">
        <x:v>2026-05-04 07:00:00</x:v>
      </x:c>
      <x:c r="E466" s="17" t="str">
        <x:v>Johnson&amp;Johnson</x:v>
      </x:c>
      <x:c r="F466" s="17" t="str">
        <x:v>Kevin - +19734768654</x:v>
      </x:c>
      <x:c r="G466" s="17" t="str">
        <x:v>Concluído</x:v>
      </x:c>
      <x:c r="H466" s="17" t="str">
        <x:v>Pago</x:v>
      </x:c>
      <x:c r="I466" s="21" t="n">
        <x:v>780.56</x:v>
      </x:c>
    </x:row>
    <x:row r="467" ht="15" hidden="0" customHeight="1">
      <x:c r="A467" s="17" t="n">
        <x:v>467</x:v>
      </x:c>
      <x:c r="B467" s="17" t="str">
        <x:v>OP-1221</x:v>
      </x:c>
      <x:c r="C467" s="17" t="str">
        <x:v>OS-4596</x:v>
      </x:c>
      <x:c r="D467" s="17" t="str">
        <x:v>2026-05-04 07:00:00</x:v>
      </x:c>
      <x:c r="E467" s="17" t="str">
        <x:v>Eldorado do Brasil</x:v>
      </x:c>
      <x:c r="F467" s="17" t="str">
        <x:v>Carlos Roberto Paiva Monteiro - (12) 9 9713-2722</x:v>
      </x:c>
      <x:c r="G467" s="17" t="str">
        <x:v>Concluído</x:v>
      </x:c>
      <x:c r="H467" s="17" t="str">
        <x:v>Pago</x:v>
      </x:c>
      <x:c r="I467" s="21" t="n">
        <x:v>649.95</x:v>
      </x:c>
    </x:row>
    <x:row r="468" ht="15" hidden="0" customHeight="1">
      <x:c r="A468" s="17" t="n">
        <x:v>468</x:v>
      </x:c>
      <x:c r="B468" s="17" t="str">
        <x:v>OP-1102</x:v>
      </x:c>
      <x:c r="C468" s="17" t="str">
        <x:v>OS-4617</x:v>
      </x:c>
      <x:c r="D468" s="17" t="str">
        <x:v>2026-05-04 07:45:00</x:v>
      </x:c>
      <x:c r="E468" s="17" t="str">
        <x:v>Kenvue</x:v>
      </x:c>
      <x:c r="F468" s="17" t="str">
        <x:v>Juan Carlos Muñoz Gonzales - indeterminado</x:v>
      </x:c>
      <x:c r="G468" s="17" t="str">
        <x:v>Concluído</x:v>
      </x:c>
      <x:c r="H468" s="17" t="str">
        <x:v>Pago</x:v>
      </x:c>
      <x:c r="I468" s="21" t="n">
        <x:v>160.51</x:v>
      </x:c>
    </x:row>
    <x:row r="469" ht="36" hidden="0" customHeight="1">
      <x:c r="A469" s="17" t="n">
        <x:v>469</x:v>
      </x:c>
      <x:c r="B469" s="17" t="str">
        <x:v>OP-1103</x:v>
      </x:c>
      <x:c r="C469" s="17" t="str">
        <x:v>OS-4675</x:v>
      </x:c>
      <x:c r="D469" s="17" t="str">
        <x:v>2026-05-04 08:00:00</x:v>
      </x:c>
      <x:c r="E469" s="17" t="str">
        <x:v>Johnson&amp;Johnson</x:v>
      </x:c>
      <x:c r="F469" s="17" t="str">
        <x:v>Janice Bequette - indeterminado;
Kimberly Miller - indeterminado;
Freddy Soto - indeterminado</x:v>
      </x:c>
      <x:c r="G469" s="17" t="str">
        <x:v>Concluído</x:v>
      </x:c>
      <x:c r="H469" s="17" t="str">
        <x:v>Pago</x:v>
      </x:c>
      <x:c r="I469" s="21" t="n">
        <x:v>173.51</x:v>
      </x:c>
    </x:row>
    <x:row r="470" ht="36" hidden="0" customHeight="1">
      <x:c r="A470" s="17" t="n">
        <x:v>470</x:v>
      </x:c>
      <x:c r="B470" s="17" t="str">
        <x:v>OP-1104</x:v>
      </x:c>
      <x:c r="C470" s="17" t="str">
        <x:v>OS-4793</x:v>
      </x:c>
      <x:c r="D470" s="17" t="str">
        <x:v>2026-05-04 08:00:00</x:v>
      </x:c>
      <x:c r="E470" s="17" t="str">
        <x:v>Kenvue</x:v>
      </x:c>
      <x:c r="F470" s="17" t="str">
        <x:v>Carlos Flores - indeterminado;
Rafael Garcia - indeterminado;
Margarita Marti-Lopez - indeterminado</x:v>
      </x:c>
      <x:c r="G470" s="17" t="str">
        <x:v>Concluído</x:v>
      </x:c>
      <x:c r="H470" s="17" t="str">
        <x:v>Pago</x:v>
      </x:c>
      <x:c r="I470" s="21" t="n">
        <x:v>173.51</x:v>
      </x:c>
    </x:row>
    <x:row r="471" ht="15" hidden="0" customHeight="1">
      <x:c r="A471" s="17" t="n">
        <x:v>471</x:v>
      </x:c>
      <x:c r="B471" s="17" t="str">
        <x:v>OP-1099</x:v>
      </x:c>
      <x:c r="C471" s="17" t="str">
        <x:v>OS-4499</x:v>
      </x:c>
      <x:c r="D471" s="17" t="str">
        <x:v>2026-05-04 09:30:00</x:v>
      </x:c>
      <x:c r="E471" s="17" t="str">
        <x:v>Johnson&amp;Johnson</x:v>
      </x:c>
      <x:c r="F471" s="17" t="str">
        <x:v>Nicole DiSanto - indeterminado</x:v>
      </x:c>
      <x:c r="G471" s="17" t="str">
        <x:v>Concluído</x:v>
      </x:c>
      <x:c r="H471" s="17" t="str">
        <x:v>Pago</x:v>
      </x:c>
      <x:c r="I471" s="21" t="n">
        <x:v>780.56</x:v>
      </x:c>
    </x:row>
    <x:row r="472" ht="15" hidden="0" customHeight="1">
      <x:c r="A472" s="17" t="n">
        <x:v>472</x:v>
      </x:c>
      <x:c r="B472" s="17" t="str">
        <x:v>OP-1100</x:v>
      </x:c>
      <x:c r="C472" s="17" t="str">
        <x:v>OS-4522</x:v>
      </x:c>
      <x:c r="D472" s="17" t="str">
        <x:v>2026-05-04 09:30:00</x:v>
      </x:c>
      <x:c r="E472" s="17" t="str">
        <x:v>Héroux-Devtek Inc.</x:v>
      </x:c>
      <x:c r="F472" s="17" t="str">
        <x:v>Anne-Marie Bertrand - indeterminado</x:v>
      </x:c>
      <x:c r="G472" s="17" t="str">
        <x:v>Concluído</x:v>
      </x:c>
      <x:c r="H472" s="17" t="str">
        <x:v>Pago</x:v>
      </x:c>
      <x:c r="I472" s="21" t="n">
        <x:v>713.56</x:v>
      </x:c>
    </x:row>
    <x:row r="473" ht="15" hidden="0" customHeight="1">
      <x:c r="A473" s="17" t="n">
        <x:v>473</x:v>
      </x:c>
      <x:c r="B473" s="17" t="str">
        <x:v>OP-1100</x:v>
      </x:c>
      <x:c r="C473" s="17" t="str">
        <x:v>9342</x:v>
      </x:c>
      <x:c r="D473" s="17" t="str">
        <x:v>2026-05-04 10:30:00</x:v>
      </x:c>
      <x:c r="E473" s="17" t="str">
        <x:v>Héroux-Devtek Inc.</x:v>
      </x:c>
      <x:c r="F473" s="17" t="str">
        <x:v>Étienne Lord - +1 (438) 342-4023 / Anne-Marie Bertrand / Nicholas Lachance</x:v>
      </x:c>
      <x:c r="G473" s="17" t="str">
        <x:v>Concluído</x:v>
      </x:c>
      <x:c r="H473" s="17" t="str">
        <x:v>Pago</x:v>
      </x:c>
      <x:c r="I473" s="21" t="n">
        <x:v>4390</x:v>
      </x:c>
    </x:row>
    <x:row r="474" ht="15" hidden="0" customHeight="1">
      <x:c r="A474" s="17" t="n">
        <x:v>474</x:v>
      </x:c>
      <x:c r="B474" s="17" t="str">
        <x:v>OP-1134</x:v>
      </x:c>
      <x:c r="C474" s="17" t="str">
        <x:v>OS-4743</x:v>
      </x:c>
      <x:c r="D474" s="17" t="str">
        <x:v>2026-05-04 12:30:00</x:v>
      </x:c>
      <x:c r="E474" s="17" t="str">
        <x:v>Latasa Recicla BR</x:v>
      </x:c>
      <x:c r="F474" s="17" t="str">
        <x:v>Everson dos Santos Fonseca - 12 98102-9212</x:v>
      </x:c>
      <x:c r="G474" s="17" t="str">
        <x:v>Concluído</x:v>
      </x:c>
      <x:c r="H474" s="17" t="str">
        <x:v>Pago</x:v>
      </x:c>
      <x:c r="I474" s="21" t="n">
        <x:v>315</x:v>
      </x:c>
    </x:row>
    <x:row r="475" ht="36" hidden="0" customHeight="1">
      <x:c r="A475" s="17" t="n">
        <x:v>475</x:v>
      </x:c>
      <x:c r="B475" s="17" t="str">
        <x:v>OP-1103</x:v>
      </x:c>
      <x:c r="C475" s="17" t="str">
        <x:v>OS-4680</x:v>
      </x:c>
      <x:c r="D475" s="17" t="str">
        <x:v>2026-05-04 17:00:00</x:v>
      </x:c>
      <x:c r="E475" s="17" t="str">
        <x:v>Johnson&amp;Johnson</x:v>
      </x:c>
      <x:c r="F475" s="17" t="str">
        <x:v>Janice Bequette - indeterminado;
Kimberly Miller - indeterminado;
Freddy Soto - indeterminado</x:v>
      </x:c>
      <x:c r="G475" s="17" t="str">
        <x:v>Concluído</x:v>
      </x:c>
      <x:c r="H475" s="17" t="str">
        <x:v>Pago</x:v>
      </x:c>
      <x:c r="I475" s="21" t="n">
        <x:v>160.51</x:v>
      </x:c>
    </x:row>
    <x:row r="476" ht="36" hidden="0" customHeight="1">
      <x:c r="A476" s="17" t="n">
        <x:v>476</x:v>
      </x:c>
      <x:c r="B476" s="17" t="str">
        <x:v>OP-1104</x:v>
      </x:c>
      <x:c r="C476" s="17" t="str">
        <x:v>OS-4802</x:v>
      </x:c>
      <x:c r="D476" s="17" t="str">
        <x:v>2026-05-04 17:00:00</x:v>
      </x:c>
      <x:c r="E476" s="17" t="str">
        <x:v>Kenvue</x:v>
      </x:c>
      <x:c r="F476" s="17" t="str">
        <x:v>Carlos Flores - indeterminado;
Rafael Garcia - indeterminado;
Margarita Marti-Lopez - indeterminado</x:v>
      </x:c>
      <x:c r="G476" s="17" t="str">
        <x:v>Concluído</x:v>
      </x:c>
      <x:c r="H476" s="17" t="str">
        <x:v>Pago</x:v>
      </x:c>
      <x:c r="I476" s="21" t="n">
        <x:v>160.51</x:v>
      </x:c>
    </x:row>
    <x:row r="477" ht="15" hidden="0" customHeight="1">
      <x:c r="A477" s="17" t="n">
        <x:v>477</x:v>
      </x:c>
      <x:c r="B477" s="17" t="str">
        <x:v>OP-1102</x:v>
      </x:c>
      <x:c r="C477" s="17" t="str">
        <x:v>OS-4640</x:v>
      </x:c>
      <x:c r="D477" s="17" t="str">
        <x:v>2026-05-04 17:30:00</x:v>
      </x:c>
      <x:c r="E477" s="17" t="str">
        <x:v>Kenvue</x:v>
      </x:c>
      <x:c r="F477" s="17" t="str">
        <x:v>Juan Carlos Muñoz Gonzales - indeterminado</x:v>
      </x:c>
      <x:c r="G477" s="17" t="str">
        <x:v>Concluído</x:v>
      </x:c>
      <x:c r="H477" s="17" t="str">
        <x:v>Pago</x:v>
      </x:c>
      <x:c r="I477" s="21" t="n">
        <x:v>160.51</x:v>
      </x:c>
    </x:row>
    <x:row r="478" ht="15" hidden="0" customHeight="1">
      <x:c r="A478" s="17" t="n">
        <x:v>478</x:v>
      </x:c>
      <x:c r="B478" s="17" t="str">
        <x:v>OP-1133</x:v>
      </x:c>
      <x:c r="C478" s="17" t="str">
        <x:v>OS-4868</x:v>
      </x:c>
      <x:c r="D478" s="17" t="str">
        <x:v>2026-05-04 19:00:00</x:v>
      </x:c>
      <x:c r="E478" s="17" t="str">
        <x:v>Johnson&amp;Johnson</x:v>
      </x:c>
      <x:c r="F478" s="17" t="str">
        <x:v>Carolina Huang - +55 15 99858-2119</x:v>
      </x:c>
      <x:c r="G478" s="17" t="str">
        <x:v>Concluído</x:v>
      </x:c>
      <x:c r="H478" s="17" t="str">
        <x:v>Pago</x:v>
      </x:c>
      <x:c r="I478" s="21" t="n">
        <x:v>442.98</x:v>
      </x:c>
    </x:row>
    <x:row r="479" ht="36" hidden="0" customHeight="1">
      <x:c r="A479" s="17" t="n">
        <x:v>479</x:v>
      </x:c>
      <x:c r="B479" s="17" t="str">
        <x:v>OP-1132</x:v>
      </x:c>
      <x:c r="C479" s="17" t="str">
        <x:v>OS-4876</x:v>
      </x:c>
      <x:c r="D479" s="17" t="str">
        <x:v>2026-05-05 05:30:00</x:v>
      </x:c>
      <x:c r="E479" s="17" t="str">
        <x:v>Johnson&amp;Johnson</x:v>
      </x:c>
      <x:c r="F479" s="17" t="str">
        <x:v>Flavio Rodrigues - 12997218000;
Paula Ribeiro - 12991890012;
Nathalia Tenorio - +55 12 98810-3954</x:v>
      </x:c>
      <x:c r="G479" s="17" t="str">
        <x:v>Concluído</x:v>
      </x:c>
      <x:c r="H479" s="17" t="str">
        <x:v>Pago</x:v>
      </x:c>
      <x:c r="I479" s="21" t="n">
        <x:v>1351.44</x:v>
      </x:c>
    </x:row>
    <x:row r="480" ht="24" hidden="0" customHeight="1">
      <x:c r="A480" s="17" t="n">
        <x:v>480</x:v>
      </x:c>
      <x:c r="B480" s="17" t="str">
        <x:v>OP-1155</x:v>
      </x:c>
      <x:c r="C480" s="17" t="str">
        <x:v>OS-4296</x:v>
      </x:c>
      <x:c r="D480" s="17" t="str">
        <x:v>2026-05-05 07:00:00</x:v>
      </x:c>
      <x:c r="E480" s="17" t="str">
        <x:v>Johnson&amp;Johnson</x:v>
      </x:c>
      <x:c r="F480" s="17" t="str">
        <x:v>Alexsandro A. Silva - (12) 99725-5142;
Vagner Souza - (12) 98829-7500</x:v>
      </x:c>
      <x:c r="G480" s="17" t="str">
        <x:v>Concluído</x:v>
      </x:c>
      <x:c r="H480" s="17" t="str">
        <x:v>Pago</x:v>
      </x:c>
      <x:c r="I480" s="21" t="n">
        <x:v>1011.53</x:v>
      </x:c>
    </x:row>
    <x:row r="481" ht="15" hidden="0" customHeight="1">
      <x:c r="A481" s="17" t="n">
        <x:v>481</x:v>
      </x:c>
      <x:c r="B481" s="17" t="str">
        <x:v>OP-1106</x:v>
      </x:c>
      <x:c r="C481" s="17" t="str">
        <x:v>OS-4919</x:v>
      </x:c>
      <x:c r="D481" s="17" t="str">
        <x:v>2026-05-05 07:30:00</x:v>
      </x:c>
      <x:c r="E481" s="17" t="str">
        <x:v>Particular</x:v>
      </x:c>
      <x:c r="F481" s="17" t="str">
        <x:v>Sra. Angela Oliveira - +55 11 98134-8101</x:v>
      </x:c>
      <x:c r="G481" s="17" t="str">
        <x:v>Concluído</x:v>
      </x:c>
      <x:c r="H481" s="17" t="str">
        <x:v>Pago</x:v>
      </x:c>
      <x:c r="I481" s="21" t="n">
        <x:v>987.26</x:v>
      </x:c>
    </x:row>
    <x:row r="482" ht="72" hidden="0" customHeight="1">
      <x:c r="A482" s="17" t="n">
        <x:v>482</x:v>
      </x:c>
      <x:c r="B482" s="17" t="str">
        <x:v>OP-1099</x:v>
      </x:c>
      <x:c r="C482" s="17" t="str">
        <x:v>OS-4511</x:v>
      </x:c>
      <x:c r="D482" s="17" t="str">
        <x:v>2026-05-05 07:30:00</x:v>
      </x:c>
      <x:c r="E482" s="17" t="str">
        <x:v>Johnson&amp;Johnson</x:v>
      </x:c>
      <x:c r="F482" s="17" t="str">
        <x:v>Nicole DiSanto - indeterminado;
Anne Pajaud - indeterminado;
Veronica Bond - indeterminado;
Kevin Orlofski - +19734768654;
David Mckimm - indeterminado;
Cristiane Moreira Rocco - +55 11 99124-9441</x:v>
      </x:c>
      <x:c r="G482" s="17" t="str">
        <x:v>Concluído</x:v>
      </x:c>
      <x:c r="H482" s="17" t="str">
        <x:v>Pago</x:v>
      </x:c>
      <x:c r="I482" s="21" t="n">
        <x:v>3963.55</x:v>
      </x:c>
    </x:row>
    <x:row r="483" ht="15" hidden="0" customHeight="1">
      <x:c r="A483" s="17" t="n">
        <x:v>483</x:v>
      </x:c>
      <x:c r="B483" s="17" t="str">
        <x:v>OP-1100</x:v>
      </x:c>
      <x:c r="C483" s="17" t="str">
        <x:v>9344</x:v>
      </x:c>
      <x:c r="D483" s="17" t="str">
        <x:v>2026-05-05 07:30:00</x:v>
      </x:c>
      <x:c r="E483" s="17" t="str">
        <x:v>Héroux-Devtek Inc.</x:v>
      </x:c>
      <x:c r="F483" s="17" t="str">
        <x:v>Étienne Lord - +1 (438) 342-4023 / Anne-Marie Bertrand / Nicholas Lachance</x:v>
      </x:c>
      <x:c r="G483" s="17" t="str">
        <x:v>Concluído</x:v>
      </x:c>
      <x:c r="H483" s="17" t="str">
        <x:v>Pago</x:v>
      </x:c>
      <x:c r="I483" s="21" t="n">
        <x:v>750</x:v>
      </x:c>
    </x:row>
    <x:row r="484" ht="15" hidden="0" customHeight="1">
      <x:c r="A484" s="17" t="n">
        <x:v>484</x:v>
      </x:c>
      <x:c r="B484" s="17" t="str">
        <x:v>OP-1102</x:v>
      </x:c>
      <x:c r="C484" s="17" t="str">
        <x:v>OS-4618</x:v>
      </x:c>
      <x:c r="D484" s="17" t="str">
        <x:v>2026-05-05 07:45:00</x:v>
      </x:c>
      <x:c r="E484" s="17" t="str">
        <x:v>Kenvue</x:v>
      </x:c>
      <x:c r="F484" s="17" t="str">
        <x:v>Juan Carlos Muñoz Gonzales - indeterminado</x:v>
      </x:c>
      <x:c r="G484" s="17" t="str">
        <x:v>Concluído</x:v>
      </x:c>
      <x:c r="H484" s="17" t="str">
        <x:v>Pago</x:v>
      </x:c>
      <x:c r="I484" s="21" t="n">
        <x:v>160.51</x:v>
      </x:c>
    </x:row>
    <x:row r="485" ht="36" hidden="0" customHeight="1">
      <x:c r="A485" s="17" t="n">
        <x:v>485</x:v>
      </x:c>
      <x:c r="B485" s="17" t="str">
        <x:v>OP-1103</x:v>
      </x:c>
      <x:c r="C485" s="17" t="str">
        <x:v>OS-4676</x:v>
      </x:c>
      <x:c r="D485" s="17" t="str">
        <x:v>2026-05-05 08:00:00</x:v>
      </x:c>
      <x:c r="E485" s="17" t="str">
        <x:v>Johnson&amp;Johnson</x:v>
      </x:c>
      <x:c r="F485" s="17" t="str">
        <x:v>Janice Bequette - indeterminado;
Kimberly Miller - indeterminado;
Freddy Soto - indeterminado</x:v>
      </x:c>
      <x:c r="G485" s="17" t="str">
        <x:v>Concluído</x:v>
      </x:c>
      <x:c r="H485" s="17" t="str">
        <x:v>Pago</x:v>
      </x:c>
      <x:c r="I485" s="21" t="n">
        <x:v>173.51</x:v>
      </x:c>
    </x:row>
    <x:row r="486" ht="36" hidden="0" customHeight="1">
      <x:c r="A486" s="17" t="n">
        <x:v>486</x:v>
      </x:c>
      <x:c r="B486" s="17" t="str">
        <x:v>OP-1104</x:v>
      </x:c>
      <x:c r="C486" s="17" t="str">
        <x:v>OS-4794</x:v>
      </x:c>
      <x:c r="D486" s="17" t="str">
        <x:v>2026-05-05 08:00:00</x:v>
      </x:c>
      <x:c r="E486" s="17" t="str">
        <x:v>Kenvue</x:v>
      </x:c>
      <x:c r="F486" s="17" t="str">
        <x:v>Carlos Flores - indeterminado;
Rafael Garcia - indeterminado;
Margarita Marti-Lopez - indeterminado</x:v>
      </x:c>
      <x:c r="G486" s="17" t="str">
        <x:v>Concluído</x:v>
      </x:c>
      <x:c r="H486" s="17" t="str">
        <x:v>Pago</x:v>
      </x:c>
      <x:c r="I486" s="21" t="n">
        <x:v>173.51</x:v>
      </x:c>
    </x:row>
    <x:row r="487" ht="15" hidden="0" customHeight="1">
      <x:c r="A487" s="17" t="n">
        <x:v>487</x:v>
      </x:c>
      <x:c r="B487" s="17" t="str">
        <x:v>OP-1158</x:v>
      </x:c>
      <x:c r="C487" s="17" t="str">
        <x:v>9417</x:v>
      </x:c>
      <x:c r="D487" s="17" t="str">
        <x:v>2026-05-05 09:00:00</x:v>
      </x:c>
      <x:c r="E487" s="17" t="str">
        <x:v>Johnson&amp;Johnson</x:v>
      </x:c>
      <x:c r="F487" s="17" t="str">
        <x:v>Fernando Silva - +55 12 988370098</x:v>
      </x:c>
      <x:c r="G487" s="17" t="str">
        <x:v>Concluído</x:v>
      </x:c>
      <x:c r="H487" s="17" t="str">
        <x:v>Composição Realizada</x:v>
      </x:c>
      <x:c r="I487" s="21" t="n">
        <x:v>1204.29</x:v>
      </x:c>
    </x:row>
    <x:row r="488" ht="15" hidden="0" customHeight="1">
      <x:c r="A488" s="17" t="n">
        <x:v>488</x:v>
      </x:c>
      <x:c r="B488" s="17" t="str">
        <x:v>OP-1159</x:v>
      </x:c>
      <x:c r="C488" s="17" t="str">
        <x:v>OS-4746</x:v>
      </x:c>
      <x:c r="D488" s="17" t="str">
        <x:v>2026-05-05 13:00:00</x:v>
      </x:c>
      <x:c r="E488" s="17" t="str">
        <x:v>Kenvue</x:v>
      </x:c>
      <x:c r="F488" s="17" t="str">
        <x:v>Maria Luz Menendez - +55 11 98294-6457 (Salete Macedo)</x:v>
      </x:c>
      <x:c r="G488" s="17" t="str">
        <x:v>Concluído</x:v>
      </x:c>
      <x:c r="H488" s="17" t="str">
        <x:v>Pago</x:v>
      </x:c>
      <x:c r="I488" s="21" t="n">
        <x:v>780.56</x:v>
      </x:c>
    </x:row>
    <x:row r="489" ht="15" hidden="0" customHeight="1">
      <x:c r="A489" s="17" t="n">
        <x:v>489</x:v>
      </x:c>
      <x:c r="B489" s="17" t="str">
        <x:v>OP-1098</x:v>
      </x:c>
      <x:c r="C489" s="17" t="str">
        <x:v>OS-4722</x:v>
      </x:c>
      <x:c r="D489" s="17" t="str">
        <x:v>2026-05-05 16:00:00</x:v>
      </x:c>
      <x:c r="E489" s="17" t="str">
        <x:v>Vertical Aerospace Group Ltd.</x:v>
      </x:c>
      <x:c r="F489" s="17" t="str">
        <x:v>Michael Cervenka - indeterminado</x:v>
      </x:c>
      <x:c r="G489" s="17" t="str">
        <x:v>Concluído</x:v>
      </x:c>
      <x:c r="H489" s="17" t="str">
        <x:v>Pago</x:v>
      </x:c>
      <x:c r="I489" s="21" t="n">
        <x:v>620.49</x:v>
      </x:c>
    </x:row>
    <x:row r="490" ht="36" hidden="0" customHeight="1">
      <x:c r="A490" s="17" t="n">
        <x:v>490</x:v>
      </x:c>
      <x:c r="B490" s="17" t="str">
        <x:v>OP-1104</x:v>
      </x:c>
      <x:c r="C490" s="17" t="str">
        <x:v>OS-4798</x:v>
      </x:c>
      <x:c r="D490" s="17" t="str">
        <x:v>2026-05-05 16:00:00</x:v>
      </x:c>
      <x:c r="E490" s="17" t="str">
        <x:v>Kenvue</x:v>
      </x:c>
      <x:c r="F490" s="17" t="str">
        <x:v>Carlos Flores - indeterminado;
Rafael Garcia - indeterminado;
Margarita Marti-Lopez - indeterminado</x:v>
      </x:c>
      <x:c r="G490" s="17" t="str">
        <x:v>Concluído</x:v>
      </x:c>
      <x:c r="H490" s="17" t="str">
        <x:v>Pago</x:v>
      </x:c>
      <x:c r="I490" s="21" t="n">
        <x:v>160.51</x:v>
      </x:c>
    </x:row>
    <x:row r="491" ht="15" hidden="0" customHeight="1">
      <x:c r="A491" s="17" t="n">
        <x:v>491</x:v>
      </x:c>
      <x:c r="B491" s="17" t="str">
        <x:v>OP-1237</x:v>
      </x:c>
      <x:c r="C491" s="17" t="str">
        <x:v>OS-4690</x:v>
      </x:c>
      <x:c r="D491" s="17" t="str">
        <x:v>2026-05-05 16:20:00</x:v>
      </x:c>
      <x:c r="E491" s="17" t="str">
        <x:v>Particular</x:v>
      </x:c>
      <x:c r="F491" s="17" t="str">
        <x:v>Innes Mullen - (12) 99766-0236</x:v>
      </x:c>
      <x:c r="G491" s="17" t="str">
        <x:v>Concluído</x:v>
      </x:c>
      <x:c r="H491" s="17" t="str">
        <x:v>Pago</x:v>
      </x:c>
      <x:c r="I491" s="21" t="n">
        <x:v>465</x:v>
      </x:c>
    </x:row>
    <x:row r="492" ht="36" hidden="0" customHeight="1">
      <x:c r="A492" s="17" t="n">
        <x:v>492</x:v>
      </x:c>
      <x:c r="B492" s="17" t="str">
        <x:v>OP-1103</x:v>
      </x:c>
      <x:c r="C492" s="17" t="str">
        <x:v>OS-4681</x:v>
      </x:c>
      <x:c r="D492" s="17" t="str">
        <x:v>2026-05-05 17:00:00</x:v>
      </x:c>
      <x:c r="E492" s="17" t="str">
        <x:v>Johnson&amp;Johnson</x:v>
      </x:c>
      <x:c r="F492" s="17" t="str">
        <x:v>Janice Bequette - indeterminado;
Kimberly Miller - indeterminado;
Freddy Soto - indeterminado</x:v>
      </x:c>
      <x:c r="G492" s="17" t="str">
        <x:v>Concluído</x:v>
      </x:c>
      <x:c r="H492" s="17" t="str">
        <x:v>Pago</x:v>
      </x:c>
      <x:c r="I492" s="21" t="n">
        <x:v>160.51</x:v>
      </x:c>
    </x:row>
    <x:row r="493" ht="15" hidden="0" customHeight="1">
      <x:c r="A493" s="17" t="n">
        <x:v>493</x:v>
      </x:c>
      <x:c r="B493" s="17" t="str">
        <x:v>OP-1100</x:v>
      </x:c>
      <x:c r="C493" s="17" t="str">
        <x:v>9345</x:v>
      </x:c>
      <x:c r="D493" s="17" t="str">
        <x:v>2026-05-05 17:30:00</x:v>
      </x:c>
      <x:c r="E493" s="17" t="str">
        <x:v>Héroux-Devtek Inc.</x:v>
      </x:c>
      <x:c r="F493" s="17" t="str">
        <x:v>Étienne Lord - +1 (438) 342-4023 / Anne-Marie Bertrand / Nicholas Lachance</x:v>
      </x:c>
      <x:c r="G493" s="17" t="str">
        <x:v>Concluído</x:v>
      </x:c>
      <x:c r="H493" s="17" t="str">
        <x:v>Pago</x:v>
      </x:c>
      <x:c r="I493" s="21" t="n">
        <x:v>750</x:v>
      </x:c>
    </x:row>
    <x:row r="494" ht="15" hidden="0" customHeight="1">
      <x:c r="A494" s="17" t="n">
        <x:v>494</x:v>
      </x:c>
      <x:c r="B494" s="17" t="str">
        <x:v>OP-1102</x:v>
      </x:c>
      <x:c r="C494" s="17" t="str">
        <x:v>OS-4622</x:v>
      </x:c>
      <x:c r="D494" s="17" t="str">
        <x:v>2026-05-05 17:30:00</x:v>
      </x:c>
      <x:c r="E494" s="17" t="str">
        <x:v>Kenvue</x:v>
      </x:c>
      <x:c r="F494" s="17" t="str">
        <x:v>Juan Carlos Muñoz Gonzales - indeterminado</x:v>
      </x:c>
      <x:c r="G494" s="17" t="str">
        <x:v>Concluído</x:v>
      </x:c>
      <x:c r="H494" s="17" t="str">
        <x:v>Pago</x:v>
      </x:c>
      <x:c r="I494" s="21" t="n">
        <x:v>160.51</x:v>
      </x:c>
    </x:row>
    <x:row r="495" ht="15" hidden="0" customHeight="1">
      <x:c r="A495" s="17" t="n">
        <x:v>495</x:v>
      </x:c>
      <x:c r="B495" s="17" t="str">
        <x:v>OP-1159</x:v>
      </x:c>
      <x:c r="C495" s="17" t="str">
        <x:v>OS-4751</x:v>
      </x:c>
      <x:c r="D495" s="17" t="str">
        <x:v>2026-05-05 18:00:00</x:v>
      </x:c>
      <x:c r="E495" s="17" t="str">
        <x:v>Kenvue</x:v>
      </x:c>
      <x:c r="F495" s="17" t="str">
        <x:v>Maria Luz Menendez - +55 11 98294-6457 (Salete Macedo)</x:v>
      </x:c>
      <x:c r="G495" s="17" t="str">
        <x:v>Concluído</x:v>
      </x:c>
      <x:c r="H495" s="17" t="str">
        <x:v>Pago</x:v>
      </x:c>
      <x:c r="I495" s="21" t="n">
        <x:v>494.88</x:v>
      </x:c>
    </x:row>
    <x:row r="496" ht="15" hidden="0" customHeight="1">
      <x:c r="A496" s="17" t="n">
        <x:v>496</x:v>
      </x:c>
      <x:c r="B496" s="17" t="str">
        <x:v>OP-1120</x:v>
      </x:c>
      <x:c r="C496" s="17" t="str">
        <x:v>OS-4954</x:v>
      </x:c>
      <x:c r="D496" s="17" t="str">
        <x:v>2026-05-06 05:10:00</x:v>
      </x:c>
      <x:c r="E496" s="17" t="str">
        <x:v>Boeing</x:v>
      </x:c>
      <x:c r="F496" s="17" t="str">
        <x:v>Fernanda Silvestre - +55 12 99204-5635</x:v>
      </x:c>
      <x:c r="G496" s="17" t="str">
        <x:v>Concluído</x:v>
      </x:c>
      <x:c r="H496" s="17" t="str">
        <x:v>Pago</x:v>
      </x:c>
      <x:c r="I496" s="21" t="n">
        <x:v>756.89</x:v>
      </x:c>
    </x:row>
    <x:row r="497" ht="24" hidden="0" customHeight="1">
      <x:c r="A497" s="17" t="n">
        <x:v>497</x:v>
      </x:c>
      <x:c r="B497" s="17" t="str">
        <x:v>OP-1155</x:v>
      </x:c>
      <x:c r="C497" s="17" t="str">
        <x:v>OS-4297</x:v>
      </x:c>
      <x:c r="D497" s="17" t="str">
        <x:v>2026-05-06 07:00:00</x:v>
      </x:c>
      <x:c r="E497" s="17" t="str">
        <x:v>Johnson&amp;Johnson</x:v>
      </x:c>
      <x:c r="F497" s="17" t="str">
        <x:v>Alexsandro A. Silva - (12) 99725-5142;
Vagner Souza - (12) 98829-7500</x:v>
      </x:c>
      <x:c r="G497" s="17" t="str">
        <x:v>Concluído</x:v>
      </x:c>
      <x:c r="H497" s="17" t="str">
        <x:v>Pago</x:v>
      </x:c>
      <x:c r="I497" s="21" t="n">
        <x:v>1011.53</x:v>
      </x:c>
    </x:row>
    <x:row r="498" ht="36" hidden="0" customHeight="1">
      <x:c r="A498" s="17" t="n">
        <x:v>498</x:v>
      </x:c>
      <x:c r="B498" s="17" t="str">
        <x:v>OP-1103</x:v>
      </x:c>
      <x:c r="C498" s="17" t="str">
        <x:v>OS-4677</x:v>
      </x:c>
      <x:c r="D498" s="17" t="str">
        <x:v>2026-05-06 07:30:00</x:v>
      </x:c>
      <x:c r="E498" s="17" t="str">
        <x:v>Johnson&amp;Johnson</x:v>
      </x:c>
      <x:c r="F498" s="17" t="str">
        <x:v>Janice Bequette - indeterminado;
Kimberly Miller - indeterminado;
Freddy Soto - indeterminado</x:v>
      </x:c>
      <x:c r="G498" s="17" t="str">
        <x:v>Concluído</x:v>
      </x:c>
      <x:c r="H498" s="17" t="str">
        <x:v>Pago</x:v>
      </x:c>
      <x:c r="I498" s="21" t="n">
        <x:v>173.51</x:v>
      </x:c>
    </x:row>
    <x:row r="499" ht="15" hidden="0" customHeight="1">
      <x:c r="A499" s="17" t="n">
        <x:v>499</x:v>
      </x:c>
      <x:c r="B499" s="17" t="str">
        <x:v>OP-1100</x:v>
      </x:c>
      <x:c r="C499" s="17" t="str">
        <x:v>9346</x:v>
      </x:c>
      <x:c r="D499" s="17" t="str">
        <x:v>2026-05-06 07:30:00</x:v>
      </x:c>
      <x:c r="E499" s="17" t="str">
        <x:v>Héroux-Devtek Inc.</x:v>
      </x:c>
      <x:c r="F499" s="17" t="str">
        <x:v>Étienne Lord - +1 (438) 342-4023 / Anne-Marie Bertrand / Nicholas Lachance</x:v>
      </x:c>
      <x:c r="G499" s="17" t="str">
        <x:v>Concluído</x:v>
      </x:c>
      <x:c r="H499" s="17" t="str">
        <x:v>Pago</x:v>
      </x:c>
      <x:c r="I499" s="21" t="n">
        <x:v>750</x:v>
      </x:c>
    </x:row>
    <x:row r="500" ht="15" hidden="0" customHeight="1">
      <x:c r="A500" s="17" t="n">
        <x:v>500</x:v>
      </x:c>
      <x:c r="B500" s="17" t="str">
        <x:v>OP-1159</x:v>
      </x:c>
      <x:c r="C500" s="17" t="str">
        <x:v>OS-4748</x:v>
      </x:c>
      <x:c r="D500" s="17" t="str">
        <x:v>2026-05-06 07:30:00</x:v>
      </x:c>
      <x:c r="E500" s="17" t="str">
        <x:v>Kenvue</x:v>
      </x:c>
      <x:c r="F500" s="17" t="str">
        <x:v>Maria Luz Menendez - +55 11 98294-6457 (Salete Macedo)</x:v>
      </x:c>
      <x:c r="G500" s="17" t="str">
        <x:v>Concluído</x:v>
      </x:c>
      <x:c r="H500" s="17" t="str">
        <x:v>Pago</x:v>
      </x:c>
      <x:c r="I500" s="21" t="n">
        <x:v>494.88</x:v>
      </x:c>
    </x:row>
    <x:row r="501" ht="72" hidden="0" customHeight="1">
      <x:c r="A501" s="17" t="n">
        <x:v>501</x:v>
      </x:c>
      <x:c r="B501" s="17" t="str">
        <x:v>OP-1099</x:v>
      </x:c>
      <x:c r="C501" s="17" t="str">
        <x:v>OS-4513</x:v>
      </x:c>
      <x:c r="D501" s="17" t="str">
        <x:v>2026-05-06 07:30:00</x:v>
      </x:c>
      <x:c r="E501" s="17" t="str">
        <x:v>Johnson&amp;Johnson</x:v>
      </x:c>
      <x:c r="F501" s="17" t="str">
        <x:v>Nicole DiSanto - indeterminado;
Anne Pajaud - indeterminado;
Veronica Bond - indeterminado;
Kevin Orlofski - +19734768654;
David Mckimm - indeterminado;
Cristiane Moreira Rocco - +55 11 99124-9441</x:v>
      </x:c>
      <x:c r="G501" s="17" t="str">
        <x:v>Concluído</x:v>
      </x:c>
      <x:c r="H501" s="17" t="str">
        <x:v>Pago</x:v>
      </x:c>
      <x:c r="I501" s="21" t="n">
        <x:v>2465</x:v>
      </x:c>
    </x:row>
    <x:row r="502" ht="15" hidden="0" customHeight="1">
      <x:c r="A502" s="17" t="n">
        <x:v>502</x:v>
      </x:c>
      <x:c r="B502" s="17" t="str">
        <x:v>OP-1102</x:v>
      </x:c>
      <x:c r="C502" s="17" t="str">
        <x:v>OS-4619</x:v>
      </x:c>
      <x:c r="D502" s="17" t="str">
        <x:v>2026-05-06 07:45:00</x:v>
      </x:c>
      <x:c r="E502" s="17" t="str">
        <x:v>Kenvue</x:v>
      </x:c>
      <x:c r="F502" s="17" t="str">
        <x:v>Juan Carlos Muñoz Gonzales - indeterminado</x:v>
      </x:c>
      <x:c r="G502" s="17" t="str">
        <x:v>Concluído</x:v>
      </x:c>
      <x:c r="H502" s="17" t="str">
        <x:v>Pago</x:v>
      </x:c>
      <x:c r="I502" s="21" t="n">
        <x:v>160.51</x:v>
      </x:c>
    </x:row>
    <x:row r="503" ht="24" hidden="0" customHeight="1">
      <x:c r="A503" s="17" t="n">
        <x:v>503</x:v>
      </x:c>
      <x:c r="B503" s="17" t="str">
        <x:v>OP-1098</x:v>
      </x:c>
      <x:c r="C503" s="17" t="str">
        <x:v>OS-4726</x:v>
      </x:c>
      <x:c r="D503" s="17" t="str">
        <x:v>2026-05-06 07:45:00</x:v>
      </x:c>
      <x:c r="E503" s="17" t="str">
        <x:v>Vertical Aerospace Group Ltd.</x:v>
      </x:c>
      <x:c r="F503" s="17" t="str">
        <x:v>Michael Cervenka - indeterminado;
Stuart Simpson - indeterminado</x:v>
      </x:c>
      <x:c r="G503" s="17" t="str">
        <x:v>Concluído</x:v>
      </x:c>
      <x:c r="H503" s="17" t="str">
        <x:v>Pago</x:v>
      </x:c>
      <x:c r="I503" s="21" t="n">
        <x:v>179.64</x:v>
      </x:c>
    </x:row>
    <x:row r="504" ht="36" hidden="0" customHeight="1">
      <x:c r="A504" s="17" t="n">
        <x:v>504</x:v>
      </x:c>
      <x:c r="B504" s="17" t="str">
        <x:v>OP-1104</x:v>
      </x:c>
      <x:c r="C504" s="17" t="str">
        <x:v>OS-4795</x:v>
      </x:c>
      <x:c r="D504" s="17" t="str">
        <x:v>2026-05-06 08:00:00</x:v>
      </x:c>
      <x:c r="E504" s="17" t="str">
        <x:v>Kenvue</x:v>
      </x:c>
      <x:c r="F504" s="17" t="str">
        <x:v>Carlos Flores - indeterminado;
Rafael Garcia - indeterminado;
Margarita Marti-Lopez - indeterminado</x:v>
      </x:c>
      <x:c r="G504" s="17" t="str">
        <x:v>Concluído</x:v>
      </x:c>
      <x:c r="H504" s="17" t="str">
        <x:v>Pago</x:v>
      </x:c>
      <x:c r="I504" s="21" t="n">
        <x:v>173.51</x:v>
      </x:c>
    </x:row>
    <x:row r="505" ht="24" hidden="0" customHeight="1">
      <x:c r="A505" s="17" t="n">
        <x:v>505</x:v>
      </x:c>
      <x:c r="B505" s="17" t="str">
        <x:v>OP-1134</x:v>
      </x:c>
      <x:c r="C505" s="17" t="str">
        <x:v>OS-4962</x:v>
      </x:c>
      <x:c r="D505" s="17" t="str">
        <x:v>2026-05-06 11:10:00</x:v>
      </x:c>
      <x:c r="E505" s="17" t="str">
        <x:v>Latasa Recicla BR</x:v>
      </x:c>
      <x:c r="F505" s="17" t="str">
        <x:v>SAMUEL ROXADELLI GARUFFI - 12) 99235-8761;
BRUNO GONCALVES DOS REIS - (12) 99160-5835</x:v>
      </x:c>
      <x:c r="G505" s="17" t="str">
        <x:v>Concluído</x:v>
      </x:c>
      <x:c r="H505" s="17" t="str">
        <x:v>Pago</x:v>
      </x:c>
      <x:c r="I505" s="21" t="n">
        <x:v>89</x:v>
      </x:c>
    </x:row>
    <x:row r="506" ht="36" hidden="0" customHeight="1">
      <x:c r="A506" s="17" t="n">
        <x:v>506</x:v>
      </x:c>
      <x:c r="B506" s="17" t="str">
        <x:v>OP-1134</x:v>
      </x:c>
      <x:c r="C506" s="17" t="str">
        <x:v>OS-4963</x:v>
      </x:c>
      <x:c r="D506" s="17" t="str">
        <x:v>2026-05-06 12:00:00</x:v>
      </x:c>
      <x:c r="E506" s="17" t="str">
        <x:v>Latasa Recicla BR</x:v>
      </x:c>
      <x:c r="F506" s="17" t="str">
        <x:v>Alex Ribeiro - 12 99196-5955;
CARLOS ALBERTO SALES DA SILVA - indeterminado;
WANGLES CAMARGO PINHO - indeterminado</x:v>
      </x:c>
      <x:c r="G506" s="17" t="str">
        <x:v>Concluído</x:v>
      </x:c>
      <x:c r="H506" s="17" t="str">
        <x:v>Pago</x:v>
      </x:c>
      <x:c r="I506" s="21" t="n">
        <x:v>89</x:v>
      </x:c>
    </x:row>
    <x:row r="507" ht="15" hidden="0" customHeight="1">
      <x:c r="A507" s="17" t="n">
        <x:v>507</x:v>
      </x:c>
      <x:c r="B507" s="17" t="str">
        <x:v>OP-1134</x:v>
      </x:c>
      <x:c r="C507" s="17" t="str">
        <x:v>OS-4885</x:v>
      </x:c>
      <x:c r="D507" s="17" t="str">
        <x:v>2026-05-06 12:30:00</x:v>
      </x:c>
      <x:c r="E507" s="17" t="str">
        <x:v>Latasa Recicla BR</x:v>
      </x:c>
      <x:c r="F507" s="17" t="str">
        <x:v>Tiago Henrique Santos Xavier - (12) 99142-8629</x:v>
      </x:c>
      <x:c r="G507" s="17" t="str">
        <x:v>Concluído</x:v>
      </x:c>
      <x:c r="H507" s="17" t="str">
        <x:v>Pago</x:v>
      </x:c>
      <x:c r="I507" s="21" t="n">
        <x:v>390</x:v>
      </x:c>
    </x:row>
    <x:row r="508" ht="15" hidden="0" customHeight="1">
      <x:c r="A508" s="17" t="n">
        <x:v>508</x:v>
      </x:c>
      <x:c r="B508" s="17" t="str">
        <x:v>OP-1098</x:v>
      </x:c>
      <x:c r="C508" s="17" t="str">
        <x:v>OS-4978</x:v>
      </x:c>
      <x:c r="D508" s="17" t="str">
        <x:v>2026-05-06 13:30:00</x:v>
      </x:c>
      <x:c r="E508" s="17" t="str">
        <x:v>Vertical Aerospace Group Ltd.</x:v>
      </x:c>
      <x:c r="F508" s="17" t="str">
        <x:v>Michael Cervenka - indeterminado</x:v>
      </x:c>
      <x:c r="G508" s="17" t="str">
        <x:v>Concluído</x:v>
      </x:c>
      <x:c r="H508" s="17" t="str">
        <x:v>Pago</x:v>
      </x:c>
      <x:c r="I508" s="21" t="n">
        <x:v>179.64</x:v>
      </x:c>
    </x:row>
    <x:row r="509" ht="15" hidden="0" customHeight="1">
      <x:c r="A509" s="17" t="n">
        <x:v>509</x:v>
      </x:c>
      <x:c r="B509" s="17" t="str">
        <x:v>OP-1100</x:v>
      </x:c>
      <x:c r="C509" s="17" t="str">
        <x:v>9349</x:v>
      </x:c>
      <x:c r="D509" s="17" t="str">
        <x:v>2026-05-06 16:00:00</x:v>
      </x:c>
      <x:c r="E509" s="17" t="str">
        <x:v>Héroux-Devtek Inc.</x:v>
      </x:c>
      <x:c r="F509" s="17" t="str">
        <x:v>Étienne Lord - +1 (438) 342-4023 / Anne-Marie Bertrand / Nicholas Lachance</x:v>
      </x:c>
      <x:c r="G509" s="17" t="str">
        <x:v>Concluído</x:v>
      </x:c>
      <x:c r="H509" s="17" t="str">
        <x:v>Pago</x:v>
      </x:c>
      <x:c r="I509" s="21" t="n">
        <x:v>750</x:v>
      </x:c>
    </x:row>
    <x:row r="510" ht="36" hidden="0" customHeight="1">
      <x:c r="A510" s="17" t="n">
        <x:v>510</x:v>
      </x:c>
      <x:c r="B510" s="17" t="str">
        <x:v>OP-1103</x:v>
      </x:c>
      <x:c r="C510" s="17" t="str">
        <x:v>OS-4682</x:v>
      </x:c>
      <x:c r="D510" s="17" t="str">
        <x:v>2026-05-06 17:00:00</x:v>
      </x:c>
      <x:c r="E510" s="17" t="str">
        <x:v>Johnson&amp;Johnson</x:v>
      </x:c>
      <x:c r="F510" s="17" t="str">
        <x:v>Janice Bequette - indeterminado;
Kimberly Miller - indeterminado;
Freddy Soto - indeterminado</x:v>
      </x:c>
      <x:c r="G510" s="17" t="str">
        <x:v>Concluído</x:v>
      </x:c>
      <x:c r="H510" s="17" t="str">
        <x:v>Pago</x:v>
      </x:c>
      <x:c r="I510" s="21" t="n">
        <x:v>160.51</x:v>
      </x:c>
    </x:row>
    <x:row r="511" ht="36" hidden="0" customHeight="1">
      <x:c r="A511" s="17" t="n">
        <x:v>511</x:v>
      </x:c>
      <x:c r="B511" s="17" t="str">
        <x:v>OP-1104</x:v>
      </x:c>
      <x:c r="C511" s="17" t="str">
        <x:v>OS-4799</x:v>
      </x:c>
      <x:c r="D511" s="17" t="str">
        <x:v>2026-05-06 17:00:00</x:v>
      </x:c>
      <x:c r="E511" s="17" t="str">
        <x:v>Kenvue</x:v>
      </x:c>
      <x:c r="F511" s="17" t="str">
        <x:v>Carlos Flores - indeterminado;
Rafael Garcia - indeterminado;
Margarita Marti-Lopez - indeterminado</x:v>
      </x:c>
      <x:c r="G511" s="17" t="str">
        <x:v>Concluído</x:v>
      </x:c>
      <x:c r="H511" s="17" t="str">
        <x:v>Pago</x:v>
      </x:c>
      <x:c r="I511" s="21" t="n">
        <x:v>160.51</x:v>
      </x:c>
    </x:row>
    <x:row r="512" ht="15" hidden="0" customHeight="1">
      <x:c r="A512" s="17" t="n">
        <x:v>512</x:v>
      </x:c>
      <x:c r="B512" s="17" t="str">
        <x:v>OP-1102</x:v>
      </x:c>
      <x:c r="C512" s="17" t="str">
        <x:v>OS-4623</x:v>
      </x:c>
      <x:c r="D512" s="17" t="str">
        <x:v>2026-05-06 17:30:00</x:v>
      </x:c>
      <x:c r="E512" s="17" t="str">
        <x:v>Kenvue</x:v>
      </x:c>
      <x:c r="F512" s="17" t="str">
        <x:v>Juan Carlos Muñoz Gonzales - indeterminado</x:v>
      </x:c>
      <x:c r="G512" s="17" t="str">
        <x:v>Concluído</x:v>
      </x:c>
      <x:c r="H512" s="17" t="str">
        <x:v>Pago</x:v>
      </x:c>
      <x:c r="I512" s="21" t="n">
        <x:v>160.51</x:v>
      </x:c>
    </x:row>
    <x:row r="513" ht="24" hidden="0" customHeight="1">
      <x:c r="A513" s="17" t="n">
        <x:v>513</x:v>
      </x:c>
      <x:c r="B513" s="17" t="str">
        <x:v>OP-1098</x:v>
      </x:c>
      <x:c r="C513" s="17" t="str">
        <x:v>OS-4727</x:v>
      </x:c>
      <x:c r="D513" s="17" t="str">
        <x:v>2026-05-06 18:00:00</x:v>
      </x:c>
      <x:c r="E513" s="17" t="str">
        <x:v>Vertical Aerospace Group Ltd.</x:v>
      </x:c>
      <x:c r="F513" s="17" t="str">
        <x:v>Michael Cervenka - indeterminado;
Stuart Simpson - indeterminado</x:v>
      </x:c>
      <x:c r="G513" s="17" t="str">
        <x:v>Concluído</x:v>
      </x:c>
      <x:c r="H513" s="17" t="str">
        <x:v>Pago</x:v>
      </x:c>
      <x:c r="I513" s="21" t="n">
        <x:v>509.42</x:v>
      </x:c>
    </x:row>
    <x:row r="514" ht="15" hidden="0" customHeight="1">
      <x:c r="A514" s="17" t="n">
        <x:v>514</x:v>
      </x:c>
      <x:c r="B514" s="17" t="str">
        <x:v>OP-1159</x:v>
      </x:c>
      <x:c r="C514" s="17" t="str">
        <x:v>OS-4749</x:v>
      </x:c>
      <x:c r="D514" s="17" t="str">
        <x:v>2026-05-06 18:00:00</x:v>
      </x:c>
      <x:c r="E514" s="17" t="str">
        <x:v>Kenvue</x:v>
      </x:c>
      <x:c r="F514" s="17" t="str">
        <x:v>Maria Luz Menendez - +55 11 98294-6457 (Salete Macedo)</x:v>
      </x:c>
      <x:c r="G514" s="17" t="str">
        <x:v>Concluído</x:v>
      </x:c>
      <x:c r="H514" s="17" t="str">
        <x:v>Pago</x:v>
      </x:c>
      <x:c r="I514" s="21" t="n">
        <x:v>494.88</x:v>
      </x:c>
    </x:row>
    <x:row r="515" ht="15" hidden="0" customHeight="1">
      <x:c r="A515" s="17" t="n">
        <x:v>515</x:v>
      </x:c>
      <x:c r="B515" s="17" t="str">
        <x:v>OP-1120</x:v>
      </x:c>
      <x:c r="C515" s="17" t="str">
        <x:v>OS-4989</x:v>
      </x:c>
      <x:c r="D515" s="17" t="str">
        <x:v>2026-05-07 05:10:00</x:v>
      </x:c>
      <x:c r="E515" s="17" t="str">
        <x:v>Boeing</x:v>
      </x:c>
      <x:c r="F515" s="17" t="str">
        <x:v>Fernanda Silvestre - +55 12 99204-5635</x:v>
      </x:c>
      <x:c r="G515" s="17" t="str">
        <x:v>Concluído</x:v>
      </x:c>
      <x:c r="H515" s="17" t="str">
        <x:v>Pago</x:v>
      </x:c>
      <x:c r="I515" s="21" t="n">
        <x:v>756.89</x:v>
      </x:c>
    </x:row>
    <x:row r="516" ht="24" hidden="0" customHeight="1">
      <x:c r="A516" s="17" t="n">
        <x:v>516</x:v>
      </x:c>
      <x:c r="B516" s="17" t="str">
        <x:v>OP-1156</x:v>
      </x:c>
      <x:c r="C516" s="17" t="str">
        <x:v>OS-4940</x:v>
      </x:c>
      <x:c r="D516" s="17" t="str">
        <x:v>2026-05-07 05:20:00</x:v>
      </x:c>
      <x:c r="E516" s="17" t="str">
        <x:v>Johnson&amp;Johnson</x:v>
      </x:c>
      <x:c r="F516" s="17" t="str">
        <x:v>Leonardo Fazan - 16996179448;
Alessandra Negrisoli - 1298816.9618</x:v>
      </x:c>
      <x:c r="G516" s="17" t="str">
        <x:v>Concluído</x:v>
      </x:c>
      <x:c r="H516" s="17" t="str">
        <x:v>Pago</x:v>
      </x:c>
      <x:c r="I516" s="21" t="n">
        <x:v>1207.05</x:v>
      </x:c>
    </x:row>
    <x:row r="517" ht="36" hidden="0" customHeight="1">
      <x:c r="A517" s="17" t="n">
        <x:v>517</x:v>
      </x:c>
      <x:c r="B517" s="17" t="str">
        <x:v>OP-1100</x:v>
      </x:c>
      <x:c r="C517" s="17" t="str">
        <x:v>9347</x:v>
      </x:c>
      <x:c r="D517" s="17" t="str">
        <x:v>2026-05-07 07:00:00</x:v>
      </x:c>
      <x:c r="E517" s="17" t="str">
        <x:v>Héroux-Devtek Inc.</x:v>
      </x:c>
      <x:c r="F517" s="17" t="str">
        <x:v>Étienne Lord - +1 (438) 342-4023;
Anne-Marie Bertrand - indeterminado;
Nicholas Lachance - indeterminado</x:v>
      </x:c>
      <x:c r="G517" s="17" t="str">
        <x:v>Concluído</x:v>
      </x:c>
      <x:c r="H517" s="17" t="str">
        <x:v>Pago</x:v>
      </x:c>
      <x:c r="I517" s="21" t="n">
        <x:v>4760</x:v>
      </x:c>
    </x:row>
    <x:row r="518" ht="15" hidden="0" customHeight="1">
      <x:c r="A518" s="17" t="n">
        <x:v>518</x:v>
      </x:c>
      <x:c r="B518" s="17" t="str">
        <x:v>OP-1102</x:v>
      </x:c>
      <x:c r="C518" s="17" t="str">
        <x:v>OS-4620</x:v>
      </x:c>
      <x:c r="D518" s="17" t="str">
        <x:v>2026-05-07 07:30:00</x:v>
      </x:c>
      <x:c r="E518" s="17" t="str">
        <x:v>Kenvue</x:v>
      </x:c>
      <x:c r="F518" s="17" t="str">
        <x:v>Juan Carlos Muñoz Gonzales - indeterminado</x:v>
      </x:c>
      <x:c r="G518" s="17" t="str">
        <x:v>Concluído</x:v>
      </x:c>
      <x:c r="H518" s="17" t="str">
        <x:v>Pago</x:v>
      </x:c>
      <x:c r="I518" s="21" t="n">
        <x:v>160.51</x:v>
      </x:c>
    </x:row>
    <x:row r="519" ht="15" hidden="0" customHeight="1">
      <x:c r="A519" s="17" t="n">
        <x:v>519</x:v>
      </x:c>
      <x:c r="B519" s="17" t="str">
        <x:v>OP-1159</x:v>
      </x:c>
      <x:c r="C519" s="17" t="str">
        <x:v>OS-4750</x:v>
      </x:c>
      <x:c r="D519" s="17" t="str">
        <x:v>2026-05-07 07:30:00</x:v>
      </x:c>
      <x:c r="E519" s="17" t="str">
        <x:v>Kenvue</x:v>
      </x:c>
      <x:c r="F519" s="17" t="str">
        <x:v>Maria Luz Menendez - +55 11 98294-6457 (Salete Macedo)</x:v>
      </x:c>
      <x:c r="G519" s="17" t="str">
        <x:v>Concluído</x:v>
      </x:c>
      <x:c r="H519" s="17" t="str">
        <x:v>Pago</x:v>
      </x:c>
      <x:c r="I519" s="21" t="n">
        <x:v>494.88</x:v>
      </x:c>
    </x:row>
    <x:row r="520" ht="60" hidden="0" customHeight="1">
      <x:c r="A520" s="17" t="n">
        <x:v>520</x:v>
      </x:c>
      <x:c r="B520" s="17" t="str">
        <x:v>OP-1099</x:v>
      </x:c>
      <x:c r="C520" s="17" t="str">
        <x:v>OS-4514</x:v>
      </x:c>
      <x:c r="D520" s="17" t="str">
        <x:v>2026-05-07 07:30:00</x:v>
      </x:c>
      <x:c r="E520" s="17" t="str">
        <x:v>Johnson&amp;Johnson</x:v>
      </x:c>
      <x:c r="F520" s="17" t="str">
        <x:v>Nicole DiSanto - indeterminado;
Anne Pajaud - indeterminado;
Veronica Bond - indeterminado;
Kevin Orlofski - +19734768654;
David Mckimm - indeterminado</x:v>
      </x:c>
      <x:c r="G520" s="17" t="str">
        <x:v>Concluído</x:v>
      </x:c>
      <x:c r="H520" s="17" t="str">
        <x:v>Pago</x:v>
      </x:c>
      <x:c r="I520" s="21" t="n">
        <x:v>481.53</x:v>
      </x:c>
    </x:row>
    <x:row r="521" ht="36" hidden="0" customHeight="1">
      <x:c r="A521" s="17" t="n">
        <x:v>521</x:v>
      </x:c>
      <x:c r="B521" s="17" t="str">
        <x:v>OP-1103</x:v>
      </x:c>
      <x:c r="C521" s="17" t="str">
        <x:v>OS-4678</x:v>
      </x:c>
      <x:c r="D521" s="17" t="str">
        <x:v>2026-05-07 08:00:00</x:v>
      </x:c>
      <x:c r="E521" s="17" t="str">
        <x:v>Johnson&amp;Johnson</x:v>
      </x:c>
      <x:c r="F521" s="17" t="str">
        <x:v>Janice Bequette - indeterminado;
Kimberly Miller - indeterminado;
Freddy Soto - indeterminado</x:v>
      </x:c>
      <x:c r="G521" s="17" t="str">
        <x:v>Concluído</x:v>
      </x:c>
      <x:c r="H521" s="17" t="str">
        <x:v>Pago</x:v>
      </x:c>
      <x:c r="I521" s="21" t="n">
        <x:v>173.51</x:v>
      </x:c>
    </x:row>
    <x:row r="522" ht="36" hidden="0" customHeight="1">
      <x:c r="A522" s="17" t="n">
        <x:v>522</x:v>
      </x:c>
      <x:c r="B522" s="17" t="str">
        <x:v>OP-1104</x:v>
      </x:c>
      <x:c r="C522" s="17" t="str">
        <x:v>OS-4796</x:v>
      </x:c>
      <x:c r="D522" s="17" t="str">
        <x:v>2026-05-07 08:00:00</x:v>
      </x:c>
      <x:c r="E522" s="17" t="str">
        <x:v>Kenvue</x:v>
      </x:c>
      <x:c r="F522" s="17" t="str">
        <x:v>Carlos Flores - indeterminado;
Rafael Garcia - indeterminado;
Margarita Marti-Lopez - indeterminado</x:v>
      </x:c>
      <x:c r="G522" s="17" t="str">
        <x:v>Concluído</x:v>
      </x:c>
      <x:c r="H522" s="17" t="str">
        <x:v>Pago</x:v>
      </x:c>
      <x:c r="I522" s="21" t="n">
        <x:v>173.51</x:v>
      </x:c>
    </x:row>
    <x:row r="523" ht="15" hidden="0" customHeight="1">
      <x:c r="A523" s="17" t="n">
        <x:v>523</x:v>
      </x:c>
      <x:c r="B523" s="17" t="str">
        <x:v>OP-1187</x:v>
      </x:c>
      <x:c r="C523" s="17" t="str">
        <x:v>OS-4990</x:v>
      </x:c>
      <x:c r="D523" s="17" t="str">
        <x:v>2026-05-07 08:30:00</x:v>
      </x:c>
      <x:c r="E523" s="17" t="str">
        <x:v>Johnson&amp;Johnson</x:v>
      </x:c>
      <x:c r="F523" s="17" t="str">
        <x:v>Alberto Cardoso - +55 12 99629-4747</x:v>
      </x:c>
      <x:c r="G523" s="17" t="str">
        <x:v>Concluído</x:v>
      </x:c>
      <x:c r="H523" s="17" t="str">
        <x:v>Pago</x:v>
      </x:c>
      <x:c r="I523" s="21" t="n">
        <x:v>139.58</x:v>
      </x:c>
    </x:row>
    <x:row r="524" ht="15" hidden="0" customHeight="1">
      <x:c r="A524" s="17" t="n">
        <x:v>524</x:v>
      </x:c>
      <x:c r="B524" s="17" t="str">
        <x:v>OP-1157</x:v>
      </x:c>
      <x:c r="C524" s="17" t="str">
        <x:v>9418</x:v>
      </x:c>
      <x:c r="D524" s="17" t="str">
        <x:v>2026-05-07 09:00:00</x:v>
      </x:c>
      <x:c r="E524" s="17" t="str">
        <x:v>Johnson&amp;Johnson</x:v>
      </x:c>
      <x:c r="F524" s="17" t="str">
        <x:v>Fernando Silva - +55 12 988370098</x:v>
      </x:c>
      <x:c r="G524" s="17" t="str">
        <x:v>Concluído</x:v>
      </x:c>
      <x:c r="H524" s="17" t="str">
        <x:v>Pagamento Pendente</x:v>
      </x:c>
      <x:c r="I524" s="21" t="n">
        <x:v>1209.29</x:v>
      </x:c>
    </x:row>
    <x:row r="525" ht="60" hidden="0" customHeight="1">
      <x:c r="A525" s="17" t="n">
        <x:v>525</x:v>
      </x:c>
      <x:c r="B525" s="17" t="str">
        <x:v>OP-1099</x:v>
      </x:c>
      <x:c r="C525" s="17" t="str">
        <x:v>OS-4991</x:v>
      </x:c>
      <x:c r="D525" s="17" t="str">
        <x:v>2026-05-07 10:00:00</x:v>
      </x:c>
      <x:c r="E525" s="17" t="str">
        <x:v>Johnson&amp;Johnson</x:v>
      </x:c>
      <x:c r="F525" s="17" t="str">
        <x:v>Nicole DiSanto - indeterminado;
Anne Pajaud - indeterminado;
Veronica Bond - indeterminado;
Kevin Orlofski - +19734768654;
David Mckimm - indeterminado</x:v>
      </x:c>
      <x:c r="G525" s="17" t="str">
        <x:v>Concluído</x:v>
      </x:c>
      <x:c r="H525" s="17" t="str">
        <x:v>Pago</x:v>
      </x:c>
      <x:c r="I525" s="21" t="n">
        <x:v>890</x:v>
      </x:c>
    </x:row>
    <x:row r="526" ht="24" hidden="0" customHeight="1">
      <x:c r="A526" s="17" t="n">
        <x:v>526</x:v>
      </x:c>
      <x:c r="B526" s="17" t="str">
        <x:v>OP-1134</x:v>
      </x:c>
      <x:c r="C526" s="17" t="str">
        <x:v>OS-4997</x:v>
      </x:c>
      <x:c r="D526" s="17" t="str">
        <x:v>2026-05-07 11:00:00</x:v>
      </x:c>
      <x:c r="E526" s="17" t="str">
        <x:v>Latasa Recicla BR</x:v>
      </x:c>
      <x:c r="F526" s="17" t="str">
        <x:v>WANGLES CAMARGO PINHO - indeterminado;
Alex Ribeiro - 12 99196-5955</x:v>
      </x:c>
      <x:c r="G526" s="17" t="str">
        <x:v>Confirmado</x:v>
      </x:c>
      <x:c r="H526" s="17" t="str">
        <x:v>Pago</x:v>
      </x:c>
      <x:c r="I526" s="21" t="n">
        <x:v>89</x:v>
      </x:c>
    </x:row>
    <x:row r="527" ht="15" hidden="0" customHeight="1">
      <x:c r="A527" s="17" t="n">
        <x:v>527</x:v>
      </x:c>
      <x:c r="B527" s="17" t="str">
        <x:v>OP-1159</x:v>
      </x:c>
      <x:c r="C527" s="17" t="str">
        <x:v>OS-4747</x:v>
      </x:c>
      <x:c r="D527" s="17" t="str">
        <x:v>2026-05-07 13:00:00</x:v>
      </x:c>
      <x:c r="E527" s="17" t="str">
        <x:v>Kenvue</x:v>
      </x:c>
      <x:c r="F527" s="17" t="str">
        <x:v>Maria Luz Menendez - +55 11 98294-6457 (Salete Macedo)</x:v>
      </x:c>
      <x:c r="G527" s="17" t="str">
        <x:v>Concluído</x:v>
      </x:c>
      <x:c r="H527" s="17" t="str">
        <x:v>Pago</x:v>
      </x:c>
      <x:c r="I527" s="21" t="n">
        <x:v>713.56</x:v>
      </x:c>
    </x:row>
    <x:row r="528" ht="15" hidden="0" customHeight="1">
      <x:c r="A528" s="17" t="n">
        <x:v>528</x:v>
      </x:c>
      <x:c r="B528" s="17" t="str">
        <x:v>OP-1099</x:v>
      </x:c>
      <x:c r="C528" s="17" t="str">
        <x:v>OS-4517</x:v>
      </x:c>
      <x:c r="D528" s="17" t="str">
        <x:v>2026-05-07 14:00:00</x:v>
      </x:c>
      <x:c r="E528" s="17" t="str">
        <x:v>Johnson&amp;Johnson</x:v>
      </x:c>
      <x:c r="F528" s="17" t="str">
        <x:v>David Mckimm - indeterminado</x:v>
      </x:c>
      <x:c r="G528" s="17" t="str">
        <x:v>Concluído</x:v>
      </x:c>
      <x:c r="H528" s="17" t="str">
        <x:v>Pago</x:v>
      </x:c>
      <x:c r="I528" s="21" t="n">
        <x:v>509.42</x:v>
      </x:c>
    </x:row>
    <x:row r="529" ht="15" hidden="0" customHeight="1">
      <x:c r="A529" s="17" t="n">
        <x:v>529</x:v>
      </x:c>
      <x:c r="B529" s="17" t="str">
        <x:v>OP-1187</x:v>
      </x:c>
      <x:c r="C529" s="17" t="str">
        <x:v>OS-4994</x:v>
      </x:c>
      <x:c r="D529" s="17" t="str">
        <x:v>2026-05-07 15:00:00</x:v>
      </x:c>
      <x:c r="E529" s="17" t="str">
        <x:v>Johnson&amp;Johnson</x:v>
      </x:c>
      <x:c r="F529" s="17" t="str">
        <x:v>Alberto Cardoso - +55 12 99629-4747</x:v>
      </x:c>
      <x:c r="G529" s="17" t="str">
        <x:v>Concluído</x:v>
      </x:c>
      <x:c r="H529" s="17" t="str">
        <x:v>Pago</x:v>
      </x:c>
      <x:c r="I529" s="21" t="n">
        <x:v>139.58</x:v>
      </x:c>
    </x:row>
    <x:row r="530" ht="48" hidden="0" customHeight="1">
      <x:c r="A530" s="17" t="n">
        <x:v>530</x:v>
      </x:c>
      <x:c r="B530" s="17" t="str">
        <x:v>OP-1099</x:v>
      </x:c>
      <x:c r="C530" s="17" t="str">
        <x:v>OS-4515</x:v>
      </x:c>
      <x:c r="D530" s="17" t="str">
        <x:v>2026-05-07 15:45:00</x:v>
      </x:c>
      <x:c r="E530" s="17" t="str">
        <x:v>Johnson&amp;Johnson</x:v>
      </x:c>
      <x:c r="F530" s="17" t="str">
        <x:v>Nicole DiSanto - indeterminado;
Anne Pajaud - indeterminado;
Veronica Bond - indeterminado;
Kevin Orlofski - +19734768654</x:v>
      </x:c>
      <x:c r="G530" s="17" t="str">
        <x:v>Concluído</x:v>
      </x:c>
      <x:c r="H530" s="17" t="str">
        <x:v>Pago</x:v>
      </x:c>
      <x:c r="I530" s="21" t="n">
        <x:v>1296</x:v>
      </x:c>
    </x:row>
    <x:row r="531" ht="36" hidden="0" customHeight="1">
      <x:c r="A531" s="17" t="n">
        <x:v>531</x:v>
      </x:c>
      <x:c r="B531" s="17" t="str">
        <x:v>OP-1103</x:v>
      </x:c>
      <x:c r="C531" s="17" t="str">
        <x:v>OS-4683</x:v>
      </x:c>
      <x:c r="D531" s="17" t="str">
        <x:v>2026-05-07 17:00:00</x:v>
      </x:c>
      <x:c r="E531" s="17" t="str">
        <x:v>Johnson&amp;Johnson</x:v>
      </x:c>
      <x:c r="F531" s="17" t="str">
        <x:v>Janice Bequette - indeterminado;
Kimberly Miller - indeterminado;
Freddy Soto - indeterminado</x:v>
      </x:c>
      <x:c r="G531" s="17" t="str">
        <x:v>Concluído</x:v>
      </x:c>
      <x:c r="H531" s="17" t="str">
        <x:v>Pago</x:v>
      </x:c>
      <x:c r="I531" s="21" t="n">
        <x:v>160.51</x:v>
      </x:c>
    </x:row>
    <x:row r="532" ht="36" hidden="0" customHeight="1">
      <x:c r="A532" s="17" t="n">
        <x:v>532</x:v>
      </x:c>
      <x:c r="B532" s="17" t="str">
        <x:v>OP-1104</x:v>
      </x:c>
      <x:c r="C532" s="17" t="str">
        <x:v>OS-4800</x:v>
      </x:c>
      <x:c r="D532" s="17" t="str">
        <x:v>2026-05-07 17:00:00</x:v>
      </x:c>
      <x:c r="E532" s="17" t="str">
        <x:v>Kenvue</x:v>
      </x:c>
      <x:c r="F532" s="17" t="str">
        <x:v>Carlos Flores - indeterminado;
Rafael Garcia - indeterminado;
Margarita Marti-Lopez - indeterminado</x:v>
      </x:c>
      <x:c r="G532" s="17" t="str">
        <x:v>Concluído</x:v>
      </x:c>
      <x:c r="H532" s="17" t="str">
        <x:v>Pago</x:v>
      </x:c>
      <x:c r="I532" s="21" t="n">
        <x:v>160.51</x:v>
      </x:c>
    </x:row>
    <x:row r="533" ht="36" hidden="0" customHeight="1">
      <x:c r="A533" s="17" t="n">
        <x:v>533</x:v>
      </x:c>
      <x:c r="B533" s="17" t="str">
        <x:v>OP-1100</x:v>
      </x:c>
      <x:c r="C533" s="17" t="str">
        <x:v>9350</x:v>
      </x:c>
      <x:c r="D533" s="17" t="str">
        <x:v>2026-05-07 17:30:00</x:v>
      </x:c>
      <x:c r="E533" s="17" t="str">
        <x:v>Héroux-Devtek Inc.</x:v>
      </x:c>
      <x:c r="F533" s="17" t="str">
        <x:v>Étienne Lord - +1 (438) 342-4023;
Anne-Marie Bertrand - indeterminado;
Nicholas Lachance - indeterminado</x:v>
      </x:c>
      <x:c r="G533" s="17" t="str">
        <x:v>Concluído</x:v>
      </x:c>
      <x:c r="H533" s="17" t="str">
        <x:v>Pago</x:v>
      </x:c>
      <x:c r="I533" s="21" t="n">
        <x:v>489</x:v>
      </x:c>
    </x:row>
    <x:row r="534" ht="15" hidden="0" customHeight="1">
      <x:c r="A534" s="17" t="n">
        <x:v>534</x:v>
      </x:c>
      <x:c r="B534" s="17" t="str">
        <x:v>OP-1102</x:v>
      </x:c>
      <x:c r="C534" s="17" t="str">
        <x:v>OS-4624</x:v>
      </x:c>
      <x:c r="D534" s="17" t="str">
        <x:v>2026-05-07 17:30:00</x:v>
      </x:c>
      <x:c r="E534" s="17" t="str">
        <x:v>Kenvue</x:v>
      </x:c>
      <x:c r="F534" s="17" t="str">
        <x:v>Juan Carlos Muñoz Gonzales - indeterminado</x:v>
      </x:c>
      <x:c r="G534" s="17" t="str">
        <x:v>Concluído</x:v>
      </x:c>
      <x:c r="H534" s="17" t="str">
        <x:v>Pago</x:v>
      </x:c>
      <x:c r="I534" s="21" t="n">
        <x:v>160.51</x:v>
      </x:c>
    </x:row>
    <x:row r="535" ht="15" hidden="0" customHeight="1">
      <x:c r="A535" s="17" t="n">
        <x:v>535</x:v>
      </x:c>
      <x:c r="B535" s="17" t="str">
        <x:v>OP-1206</x:v>
      </x:c>
      <x:c r="C535" s="17" t="str">
        <x:v>OS-4992</x:v>
      </x:c>
      <x:c r="D535" s="17" t="str">
        <x:v>2026-05-07 17:30:00</x:v>
      </x:c>
      <x:c r="E535" s="17" t="str">
        <x:v>Boeing</x:v>
      </x:c>
      <x:c r="F535" s="17" t="str">
        <x:v>Caio Morini - +55 14 99765-5542</x:v>
      </x:c>
      <x:c r="G535" s="17" t="str">
        <x:v>Concluído</x:v>
      </x:c>
      <x:c r="H535" s="17" t="str">
        <x:v>Pago</x:v>
      </x:c>
      <x:c r="I535" s="21" t="n">
        <x:v>396.05</x:v>
      </x:c>
    </x:row>
    <x:row r="536" ht="15" hidden="0" customHeight="1">
      <x:c r="A536" s="17" t="n">
        <x:v>536</x:v>
      </x:c>
      <x:c r="B536" s="17" t="str">
        <x:v>OP-1168</x:v>
      </x:c>
      <x:c r="C536" s="17" t="str">
        <x:v>OS-4874</x:v>
      </x:c>
      <x:c r="D536" s="17" t="str">
        <x:v>2026-05-07 18:00:00</x:v>
      </x:c>
      <x:c r="E536" s="17" t="str">
        <x:v>Boeing</x:v>
      </x:c>
      <x:c r="F536" s="17" t="str">
        <x:v>Igor Siqueira - 012-99248-1752</x:v>
      </x:c>
      <x:c r="G536" s="17" t="str">
        <x:v>Concluído</x:v>
      </x:c>
      <x:c r="H536" s="17" t="str">
        <x:v>Pago</x:v>
      </x:c>
      <x:c r="I536" s="21" t="n">
        <x:v>396.05</x:v>
      </x:c>
    </x:row>
    <x:row r="537" ht="15" hidden="0" customHeight="1">
      <x:c r="A537" s="17" t="n">
        <x:v>537</x:v>
      </x:c>
      <x:c r="B537" s="17" t="str">
        <x:v>OP-1135</x:v>
      </x:c>
      <x:c r="C537" s="17" t="str">
        <x:v>OS-4998</x:v>
      </x:c>
      <x:c r="D537" s="17" t="str">
        <x:v>2026-05-07 18:30:00</x:v>
      </x:c>
      <x:c r="E537" s="17" t="str">
        <x:v>Particular</x:v>
      </x:c>
      <x:c r="F537" s="17" t="str">
        <x:v>Giuliana - +55 12 98118-1114</x:v>
      </x:c>
      <x:c r="G537" s="17" t="str">
        <x:v>Concluído</x:v>
      </x:c>
      <x:c r="H537" s="17" t="str">
        <x:v>Pago</x:v>
      </x:c>
      <x:c r="I537" s="21" t="n">
        <x:v>627</x:v>
      </x:c>
    </x:row>
    <x:row r="538" ht="15" hidden="0" customHeight="1">
      <x:c r="A538" s="17" t="n">
        <x:v>538</x:v>
      </x:c>
      <x:c r="B538" s="17" t="str">
        <x:v>OP-1133</x:v>
      </x:c>
      <x:c r="C538" s="17" t="str">
        <x:v>OS-4869</x:v>
      </x:c>
      <x:c r="D538" s="17" t="str">
        <x:v>2026-05-08 05:30:00</x:v>
      </x:c>
      <x:c r="E538" s="17" t="str">
        <x:v>Johnson&amp;Johnson</x:v>
      </x:c>
      <x:c r="F538" s="17" t="str">
        <x:v>Carolina Huang - +55 15 99858-2119</x:v>
      </x:c>
      <x:c r="G538" s="17" t="str">
        <x:v>Concluído</x:v>
      </x:c>
      <x:c r="H538" s="17" t="str">
        <x:v>Pago</x:v>
      </x:c>
      <x:c r="I538" s="21" t="n">
        <x:v>509.98</x:v>
      </x:c>
    </x:row>
    <x:row r="539" ht="15" hidden="0" customHeight="1">
      <x:c r="A539" s="17" t="n">
        <x:v>539</x:v>
      </x:c>
      <x:c r="B539" s="17" t="str">
        <x:v>OP-1112</x:v>
      </x:c>
      <x:c r="C539" s="17" t="str">
        <x:v>OS-4838</x:v>
      </x:c>
      <x:c r="D539" s="17" t="str">
        <x:v>2026-05-08 05:50:00</x:v>
      </x:c>
      <x:c r="E539" s="17" t="str">
        <x:v>Boeing</x:v>
      </x:c>
      <x:c r="F539" s="17" t="str">
        <x:v>Fabio Carvalho - 12-98804-6430</x:v>
      </x:c>
      <x:c r="G539" s="17" t="str">
        <x:v>Concluído</x:v>
      </x:c>
      <x:c r="H539" s="17" t="str">
        <x:v>Pago</x:v>
      </x:c>
      <x:c r="I539" s="21" t="n">
        <x:v>463.05</x:v>
      </x:c>
    </x:row>
    <x:row r="540" ht="15" hidden="0" customHeight="1">
      <x:c r="A540" s="17" t="n">
        <x:v>540</x:v>
      </x:c>
      <x:c r="B540" s="17" t="str">
        <x:v>OP-1102</x:v>
      </x:c>
      <x:c r="C540" s="17" t="str">
        <x:v>OS-4621</x:v>
      </x:c>
      <x:c r="D540" s="17" t="str">
        <x:v>2026-05-08 07:30:00</x:v>
      </x:c>
      <x:c r="E540" s="17" t="str">
        <x:v>Kenvue</x:v>
      </x:c>
      <x:c r="F540" s="17" t="str">
        <x:v>Juan Carlos Muñoz Gonzales - indeterminado</x:v>
      </x:c>
      <x:c r="G540" s="17" t="str">
        <x:v>Concluído</x:v>
      </x:c>
      <x:c r="H540" s="17" t="str">
        <x:v>Pago</x:v>
      </x:c>
      <x:c r="I540" s="21" t="n">
        <x:v>160.51</x:v>
      </x:c>
    </x:row>
    <x:row r="541" ht="36" hidden="0" customHeight="1">
      <x:c r="A541" s="17" t="n">
        <x:v>541</x:v>
      </x:c>
      <x:c r="B541" s="17" t="str">
        <x:v>OP-1103</x:v>
      </x:c>
      <x:c r="C541" s="17" t="str">
        <x:v>OS-4679</x:v>
      </x:c>
      <x:c r="D541" s="17" t="str">
        <x:v>2026-05-08 08:00:00</x:v>
      </x:c>
      <x:c r="E541" s="17" t="str">
        <x:v>Johnson&amp;Johnson</x:v>
      </x:c>
      <x:c r="F541" s="17" t="str">
        <x:v>Janice Bequette - indeterminado;
Kimberly Miller - indeterminado;
Freddy Soto - indeterminado</x:v>
      </x:c>
      <x:c r="G541" s="17" t="str">
        <x:v>Concluído</x:v>
      </x:c>
      <x:c r="H541" s="17" t="str">
        <x:v>Pago</x:v>
      </x:c>
      <x:c r="I541" s="21" t="n">
        <x:v>173.51</x:v>
      </x:c>
    </x:row>
    <x:row r="542" ht="36" hidden="0" customHeight="1">
      <x:c r="A542" s="17" t="n">
        <x:v>542</x:v>
      </x:c>
      <x:c r="B542" s="17" t="str">
        <x:v>OP-1104</x:v>
      </x:c>
      <x:c r="C542" s="17" t="str">
        <x:v>OS-4797</x:v>
      </x:c>
      <x:c r="D542" s="17" t="str">
        <x:v>2026-05-08 08:00:00</x:v>
      </x:c>
      <x:c r="E542" s="17" t="str">
        <x:v>Kenvue</x:v>
      </x:c>
      <x:c r="F542" s="17" t="str">
        <x:v>Carlos Flores - 1-787-406-3236;
Rafael Garcia - indeterminado;
Margarita Marti-Lopez - indeterminado</x:v>
      </x:c>
      <x:c r="G542" s="17" t="str">
        <x:v>Concluído</x:v>
      </x:c>
      <x:c r="H542" s="17" t="str">
        <x:v>Pago</x:v>
      </x:c>
      <x:c r="I542" s="21" t="n">
        <x:v>173.51</x:v>
      </x:c>
    </x:row>
    <x:row r="543" ht="36" hidden="0" customHeight="1">
      <x:c r="A543" s="17" t="n">
        <x:v>543</x:v>
      </x:c>
      <x:c r="B543" s="17" t="str">
        <x:v>OP-1100</x:v>
      </x:c>
      <x:c r="C543" s="17" t="str">
        <x:v>9348</x:v>
      </x:c>
      <x:c r="D543" s="17" t="str">
        <x:v>2026-05-08 08:00:00</x:v>
      </x:c>
      <x:c r="E543" s="17" t="str">
        <x:v>Héroux-Devtek Inc.</x:v>
      </x:c>
      <x:c r="F543" s="17" t="str">
        <x:v>Étienne Lord - +1 (438) 342-4023;
Anne-Marie Bertrand - indeterminado;
Nicholas Lachance - indeterminado</x:v>
      </x:c>
      <x:c r="G543" s="17" t="str">
        <x:v>Concluído</x:v>
      </x:c>
      <x:c r="H543" s="17" t="str">
        <x:v>Pago</x:v>
      </x:c>
      <x:c r="I543" s="21" t="n">
        <x:v>489</x:v>
      </x:c>
    </x:row>
    <x:row r="544" ht="24" hidden="0" customHeight="1">
      <x:c r="A544" s="17" t="n">
        <x:v>544</x:v>
      </x:c>
      <x:c r="B544" s="17" t="str">
        <x:v>OP-1144</x:v>
      </x:c>
      <x:c r="C544" s="17" t="str">
        <x:v>OS-5002</x:v>
      </x:c>
      <x:c r="D544" s="17" t="str">
        <x:v>2026-05-08 08:40:00</x:v>
      </x:c>
      <x:c r="E544" s="17" t="str">
        <x:v>Boeing</x:v>
      </x:c>
      <x:c r="F544" s="17" t="str">
        <x:v>Lucas Rafael Leandro Silva - +55 12 99755-8713;
Rene Costa Araújo - indeterminado</x:v>
      </x:c>
      <x:c r="G544" s="17" t="str">
        <x:v>Concluído</x:v>
      </x:c>
      <x:c r="H544" s="17" t="str">
        <x:v>Pago</x:v>
      </x:c>
      <x:c r="I544" s="21" t="n">
        <x:v>445.97</x:v>
      </x:c>
    </x:row>
    <x:row r="545" ht="36" hidden="0" customHeight="1">
      <x:c r="A545" s="17" t="n">
        <x:v>545</x:v>
      </x:c>
      <x:c r="B545" s="17" t="str">
        <x:v>OP-1100</x:v>
      </x:c>
      <x:c r="C545" s="17" t="str">
        <x:v>9343</x:v>
      </x:c>
      <x:c r="D545" s="17" t="str">
        <x:v>2026-05-08 11:55:00</x:v>
      </x:c>
      <x:c r="E545" s="17" t="str">
        <x:v>Héroux-Devtek Inc.</x:v>
      </x:c>
      <x:c r="F545" s="17" t="str">
        <x:v>Étienne Lord - +1 (438) 342-4023;
Anne-Marie Bertrand - indeterminado;
Nicholas Lachance - indeterminado</x:v>
      </x:c>
      <x:c r="G545" s="17" t="str">
        <x:v>Concluído</x:v>
      </x:c>
      <x:c r="H545" s="17" t="str">
        <x:v>Pago</x:v>
      </x:c>
      <x:c r="I545" s="21" t="n">
        <x:v>2605.26</x:v>
      </x:c>
    </x:row>
    <x:row r="546" ht="24" hidden="0" customHeight="1">
      <x:c r="A546" s="17" t="n">
        <x:v>546</x:v>
      </x:c>
      <x:c r="B546" s="17" t="str">
        <x:v>OP-1103</x:v>
      </x:c>
      <x:c r="C546" s="17" t="str">
        <x:v>OS-4684</x:v>
      </x:c>
      <x:c r="D546" s="17" t="str">
        <x:v>2026-05-08 14:30:00</x:v>
      </x:c>
      <x:c r="E546" s="17" t="str">
        <x:v>Johnson&amp;Johnson</x:v>
      </x:c>
      <x:c r="F546" s="17" t="str">
        <x:v>Janice Bequette - indeterminado;
Kimberly Miller - indeterminado</x:v>
      </x:c>
      <x:c r="G546" s="17" t="str">
        <x:v>Concluído</x:v>
      </x:c>
      <x:c r="H546" s="17" t="str">
        <x:v>Pago</x:v>
      </x:c>
      <x:c r="I546" s="21" t="n">
        <x:v>160.51</x:v>
      </x:c>
    </x:row>
    <x:row r="547" ht="15" hidden="0" customHeight="1">
      <x:c r="A547" s="17" t="n">
        <x:v>547</x:v>
      </x:c>
      <x:c r="B547" s="17" t="str">
        <x:v>OP-1103</x:v>
      </x:c>
      <x:c r="C547" s="17" t="str">
        <x:v>OS-4685</x:v>
      </x:c>
      <x:c r="D547" s="17" t="str">
        <x:v>2026-05-08 14:30:00</x:v>
      </x:c>
      <x:c r="E547" s="17" t="str">
        <x:v>Johnson&amp;Johnson</x:v>
      </x:c>
      <x:c r="F547" s="17" t="str">
        <x:v>Freddy Soto - indeterminado</x:v>
      </x:c>
      <x:c r="G547" s="17" t="str">
        <x:v>Concluído</x:v>
      </x:c>
      <x:c r="H547" s="17" t="str">
        <x:v>Pago</x:v>
      </x:c>
      <x:c r="I547" s="21" t="n">
        <x:v>509.42</x:v>
      </x:c>
    </x:row>
    <x:row r="548" ht="15" hidden="0" customHeight="1">
      <x:c r="A548" s="17" t="n">
        <x:v>548</x:v>
      </x:c>
      <x:c r="B548" s="17" t="str">
        <x:v>OP-1221</x:v>
      </x:c>
      <x:c r="C548" s="17" t="str">
        <x:v>OS-4597</x:v>
      </x:c>
      <x:c r="D548" s="17" t="str">
        <x:v>2026-05-08 16:00:00</x:v>
      </x:c>
      <x:c r="E548" s="17" t="str">
        <x:v>Eldorado do Brasil</x:v>
      </x:c>
      <x:c r="F548" s="17" t="str">
        <x:v>Carlos Roberto Paiva Monteiro - (12) 9 9713-2722</x:v>
      </x:c>
      <x:c r="G548" s="17" t="str">
        <x:v>Concluído</x:v>
      </x:c>
      <x:c r="H548" s="17" t="str">
        <x:v>Pago</x:v>
      </x:c>
      <x:c r="I548" s="21" t="n">
        <x:v>649.95</x:v>
      </x:c>
    </x:row>
    <x:row r="549" ht="15" hidden="0" customHeight="1">
      <x:c r="A549" s="17" t="n">
        <x:v>549</x:v>
      </x:c>
      <x:c r="B549" s="17" t="str">
        <x:v>OP-1102</x:v>
      </x:c>
      <x:c r="C549" s="17" t="str">
        <x:v>OS-4625</x:v>
      </x:c>
      <x:c r="D549" s="17" t="str">
        <x:v>2026-05-08 16:00:00</x:v>
      </x:c>
      <x:c r="E549" s="17" t="str">
        <x:v>Kenvue</x:v>
      </x:c>
      <x:c r="F549" s="17" t="str">
        <x:v>Juan Carlos Muñoz Gonzales - indeterminado</x:v>
      </x:c>
      <x:c r="G549" s="17" t="str">
        <x:v>Concluído</x:v>
      </x:c>
      <x:c r="H549" s="17" t="str">
        <x:v>Pago</x:v>
      </x:c>
      <x:c r="I549" s="21" t="n">
        <x:v>160.51</x:v>
      </x:c>
    </x:row>
    <x:row r="550" ht="36" hidden="0" customHeight="1">
      <x:c r="A550" s="17" t="n">
        <x:v>550</x:v>
      </x:c>
      <x:c r="B550" s="17" t="str">
        <x:v>OP-1104</x:v>
      </x:c>
      <x:c r="C550" s="17" t="str">
        <x:v>OS-4801</x:v>
      </x:c>
      <x:c r="D550" s="17" t="str">
        <x:v>2026-05-08 17:00:00</x:v>
      </x:c>
      <x:c r="E550" s="17" t="str">
        <x:v>Kenvue</x:v>
      </x:c>
      <x:c r="F550" s="17" t="str">
        <x:v>Carlos Flores - indeterminado;
Rafael Garcia - indeterminado;
Margarita Marti-Lopez - indeterminado</x:v>
      </x:c>
      <x:c r="G550" s="17" t="str">
        <x:v>Cancelado</x:v>
      </x:c>
      <x:c r="H550" s="17" t="str">
        <x:v>Pago</x:v>
      </x:c>
      <x:c r="I550" s="21" t="n">
        <x:v>0</x:v>
      </x:c>
    </x:row>
    <x:row r="551" ht="15" hidden="0" customHeight="1">
      <x:c r="A551" s="17" t="n">
        <x:v>551</x:v>
      </x:c>
      <x:c r="B551" s="17" t="str">
        <x:v>OP-1101</x:v>
      </x:c>
      <x:c r="C551" s="17" t="str">
        <x:v>OS-5007</x:v>
      </x:c>
      <x:c r="D551" s="17" t="str">
        <x:v>2026-05-08 17:00:00</x:v>
      </x:c>
      <x:c r="E551" s="17" t="str">
        <x:v>Particular</x:v>
      </x:c>
      <x:c r="F551" s="17" t="str">
        <x:v>Carlos Balieiro - ‪+1 (647) 861‑3010‬</x:v>
      </x:c>
      <x:c r="G551" s="17" t="str">
        <x:v>Concluído</x:v>
      </x:c>
      <x:c r="H551" s="17" t="str">
        <x:v>Pago</x:v>
      </x:c>
      <x:c r="I551" s="21" t="n">
        <x:v>429</x:v>
      </x:c>
    </x:row>
    <x:row r="552" ht="15" hidden="0" customHeight="1">
      <x:c r="A552" s="17" t="n">
        <x:v>552</x:v>
      </x:c>
      <x:c r="B552" s="17" t="str">
        <x:v>OP-1169</x:v>
      </x:c>
      <x:c r="C552" s="17" t="str">
        <x:v>OS-5039</x:v>
      </x:c>
      <x:c r="D552" s="17" t="str">
        <x:v>2026-05-08 17:30:00</x:v>
      </x:c>
      <x:c r="E552" s="17" t="str">
        <x:v>Boeing</x:v>
      </x:c>
      <x:c r="F552" s="17" t="str">
        <x:v>Gustavo Pasqual - 12 988926741</x:v>
      </x:c>
      <x:c r="G552" s="17" t="str">
        <x:v>Concluído</x:v>
      </x:c>
      <x:c r="H552" s="17" t="str">
        <x:v>Pago</x:v>
      </x:c>
      <x:c r="I552" s="21" t="n">
        <x:v>396.05</x:v>
      </x:c>
    </x:row>
    <x:row r="553" ht="24" hidden="0" customHeight="1">
      <x:c r="A553" s="17" t="n">
        <x:v>553</x:v>
      </x:c>
      <x:c r="B553" s="17" t="str">
        <x:v>OP-1110</x:v>
      </x:c>
      <x:c r="C553" s="17" t="str">
        <x:v>OS-4742</x:v>
      </x:c>
      <x:c r="D553" s="17" t="str">
        <x:v>2026-05-08 19:30:00</x:v>
      </x:c>
      <x:c r="E553" s="17" t="str">
        <x:v>Johnson&amp;Johnson</x:v>
      </x:c>
      <x:c r="F553" s="17" t="str">
        <x:v>Cesar Augusto Peixoto Lima - +55 12 99232-6296 ;
Giulia do Lago - +55 12 98122-8114</x:v>
      </x:c>
      <x:c r="G553" s="17" t="str">
        <x:v>Concluído</x:v>
      </x:c>
      <x:c r="H553" s="17" t="str">
        <x:v>Pago</x:v>
      </x:c>
      <x:c r="I553" s="21" t="n">
        <x:v>719.37</x:v>
      </x:c>
    </x:row>
    <x:row r="554" ht="15" hidden="0" customHeight="1">
      <x:c r="A554" s="17" t="n">
        <x:v>554</x:v>
      </x:c>
      <x:c r="B554" s="17" t="str">
        <x:v>OP-1102</x:v>
      </x:c>
      <x:c r="C554" s="17" t="str">
        <x:v>OS-5004</x:v>
      </x:c>
      <x:c r="D554" s="17" t="str">
        <x:v>2026-05-08 21:30:00</x:v>
      </x:c>
      <x:c r="E554" s="17" t="str">
        <x:v>Kenvue</x:v>
      </x:c>
      <x:c r="F554" s="17" t="str">
        <x:v>Juan Carlos Muñoz Gonzales - indeterminado</x:v>
      </x:c>
      <x:c r="G554" s="17" t="str">
        <x:v>Concluído</x:v>
      </x:c>
      <x:c r="H554" s="17" t="str">
        <x:v>Pago</x:v>
      </x:c>
      <x:c r="I554" s="21" t="n">
        <x:v>429.35</x:v>
      </x:c>
    </x:row>
    <x:row r="555" ht="36" hidden="0" customHeight="1">
      <x:c r="A555" s="17" t="n">
        <x:v>555</x:v>
      </x:c>
      <x:c r="B555" s="17" t="str">
        <x:v>OP-1104</x:v>
      </x:c>
      <x:c r="C555" s="17" t="str">
        <x:v>OS-5036</x:v>
      </x:c>
      <x:c r="D555" s="17" t="str">
        <x:v>2026-05-09 03:00:00</x:v>
      </x:c>
      <x:c r="E555" s="17" t="str">
        <x:v>Kenvue</x:v>
      </x:c>
      <x:c r="F555" s="17" t="str">
        <x:v>Carlos Flores - 1-787-406-3236;
Rafael Garcia - indeterminado;
Margarita Marti-Lopez - indeterminado</x:v>
      </x:c>
      <x:c r="G555" s="17" t="str">
        <x:v>Concluído</x:v>
      </x:c>
      <x:c r="H555" s="17" t="str">
        <x:v>Pago</x:v>
      </x:c>
      <x:c r="I555" s="21" t="n">
        <x:v>429.35</x:v>
      </x:c>
    </x:row>
    <x:row r="556" ht="36" hidden="0" customHeight="1">
      <x:c r="A556" s="17" t="n">
        <x:v>556</x:v>
      </x:c>
      <x:c r="B556" s="17" t="str">
        <x:v>OP-1104</x:v>
      </x:c>
      <x:c r="C556" s="17" t="str">
        <x:v>OS-5037</x:v>
      </x:c>
      <x:c r="D556" s="17" t="str">
        <x:v>2026-05-09 03:00:00</x:v>
      </x:c>
      <x:c r="E556" s="17" t="str">
        <x:v>Kenvue</x:v>
      </x:c>
      <x:c r="F556" s="17" t="str">
        <x:v>Carlos Flores - 1-787-406-3236;
Rafael Garcia - indeterminado;
Margarita Marti-Lopez - indeterminado</x:v>
      </x:c>
      <x:c r="G556" s="17" t="str">
        <x:v>Cancelado</x:v>
      </x:c>
      <x:c r="H556" s="17" t="str">
        <x:v>Cancelado Sem Taxa</x:v>
      </x:c>
      <x:c r="I556" s="21" t="n">
        <x:v>0</x:v>
      </x:c>
    </x:row>
    <x:row r="557" ht="15" hidden="0" customHeight="1">
      <x:c r="A557" s="17" t="n">
        <x:v>557</x:v>
      </x:c>
      <x:c r="B557" s="17" t="str">
        <x:v>OP-1238</x:v>
      </x:c>
      <x:c r="C557" s="17" t="str">
        <x:v>OS-5067</x:v>
      </x:c>
      <x:c r="D557" s="17" t="str">
        <x:v>2026-05-09 04:40:00</x:v>
      </x:c>
      <x:c r="E557" s="17" t="str">
        <x:v>Particular</x:v>
      </x:c>
      <x:c r="F557" s="17" t="str">
        <x:v>Innes Mullen - (12) 99766-0236</x:v>
      </x:c>
      <x:c r="G557" s="17" t="str">
        <x:v>Concluído</x:v>
      </x:c>
      <x:c r="H557" s="17" t="str">
        <x:v>Pago</x:v>
      </x:c>
      <x:c r="I557" s="21" t="n">
        <x:v>465</x:v>
      </x:c>
    </x:row>
    <x:row r="558" ht="15" hidden="0" customHeight="1">
      <x:c r="A558" s="17" t="n">
        <x:v>558</x:v>
      </x:c>
      <x:c r="B558" s="17" t="str">
        <x:v>OP-1107</x:v>
      </x:c>
      <x:c r="C558" s="17" t="str">
        <x:v>OS-4820</x:v>
      </x:c>
      <x:c r="D558" s="17" t="str">
        <x:v>2026-05-09 05:40:00</x:v>
      </x:c>
      <x:c r="E558" s="17" t="str">
        <x:v>Johnson&amp;Johnson</x:v>
      </x:c>
      <x:c r="F558" s="17" t="str">
        <x:v>Eveline Chicaroni - (12)99101-6470 / +55 12 3932-1672</x:v>
      </x:c>
      <x:c r="G558" s="17" t="str">
        <x:v>Concluído</x:v>
      </x:c>
      <x:c r="H558" s="17" t="str">
        <x:v>Pago</x:v>
      </x:c>
      <x:c r="I558" s="21" t="n">
        <x:v>509.98</x:v>
      </x:c>
    </x:row>
    <x:row r="559" ht="15" hidden="0" customHeight="1">
      <x:c r="A559" s="17" t="n">
        <x:v>559</x:v>
      </x:c>
      <x:c r="B559" s="17" t="str">
        <x:v>OP-1105</x:v>
      </x:c>
      <x:c r="C559" s="17" t="str">
        <x:v>OS-5038</x:v>
      </x:c>
      <x:c r="D559" s="17" t="str">
        <x:v>2026-05-09 06:00:00</x:v>
      </x:c>
      <x:c r="E559" s="17" t="str">
        <x:v>Particular</x:v>
      </x:c>
      <x:c r="F559" s="17" t="str">
        <x:v>Michael Richardson Bach - +1 7815769024</x:v>
      </x:c>
      <x:c r="G559" s="17" t="str">
        <x:v>Concluído</x:v>
      </x:c>
      <x:c r="H559" s="17" t="str">
        <x:v>Pago</x:v>
      </x:c>
      <x:c r="I559" s="21" t="n">
        <x:v>429</x:v>
      </x:c>
    </x:row>
    <x:row r="560" ht="15" hidden="0" customHeight="1">
      <x:c r="A560" s="17" t="n">
        <x:v>560</x:v>
      </x:c>
      <x:c r="B560" s="17" t="str">
        <x:v>OP-1115</x:v>
      </x:c>
      <x:c r="C560" s="17" t="str">
        <x:v>OS-4735</x:v>
      </x:c>
      <x:c r="D560" s="17" t="str">
        <x:v>2026-05-09 07:00:00</x:v>
      </x:c>
      <x:c r="E560" s="17" t="str">
        <x:v>Kenvue</x:v>
      </x:c>
      <x:c r="F560" s="17" t="str">
        <x:v>José Francisco Leonelli Júnior - +55 12 99153-0712</x:v>
      </x:c>
      <x:c r="G560" s="17" t="str">
        <x:v>Concluído</x:v>
      </x:c>
      <x:c r="H560" s="17" t="str">
        <x:v>Pago</x:v>
      </x:c>
      <x:c r="I560" s="21" t="n">
        <x:v>635.93</x:v>
      </x:c>
    </x:row>
    <x:row r="561" ht="15" hidden="0" customHeight="1">
      <x:c r="A561" s="17" t="n">
        <x:v>561</x:v>
      </x:c>
      <x:c r="B561" s="17" t="str">
        <x:v>OP-1134</x:v>
      </x:c>
      <x:c r="C561" s="17" t="str">
        <x:v>OS-5054</x:v>
      </x:c>
      <x:c r="D561" s="17" t="str">
        <x:v>2026-05-09 13:00:00</x:v>
      </x:c>
      <x:c r="E561" s="17" t="str">
        <x:v>Latasa Recicla BR</x:v>
      </x:c>
      <x:c r="F561" s="17" t="str">
        <x:v>Adilson Lopes Monteiro - (12) 98179-0152</x:v>
      </x:c>
      <x:c r="G561" s="17" t="str">
        <x:v>Concluído</x:v>
      </x:c>
      <x:c r="H561" s="17" t="str">
        <x:v>Pago</x:v>
      </x:c>
      <x:c r="I561" s="21" t="n">
        <x:v>89</x:v>
      </x:c>
    </x:row>
    <x:row r="562" ht="15" hidden="0" customHeight="1">
      <x:c r="A562" s="17" t="n">
        <x:v>562</x:v>
      </x:c>
      <x:c r="B562" s="17" t="str">
        <x:v>OP-1106</x:v>
      </x:c>
      <x:c r="C562" s="17" t="str">
        <x:v>OS-5008</x:v>
      </x:c>
      <x:c r="D562" s="17" t="str">
        <x:v>2026-05-09 15:00:00</x:v>
      </x:c>
      <x:c r="E562" s="17" t="str">
        <x:v>Particular</x:v>
      </x:c>
      <x:c r="F562" s="17" t="str">
        <x:v>Sra. Angela Oliveira - +55 11 98134-8101</x:v>
      </x:c>
      <x:c r="G562" s="17" t="str">
        <x:v>Concluído</x:v>
      </x:c>
      <x:c r="H562" s="17" t="str">
        <x:v>Pago</x:v>
      </x:c>
      <x:c r="I562" s="21" t="n">
        <x:v>650</x:v>
      </x:c>
    </x:row>
    <x:row r="563" ht="15" hidden="0" customHeight="1">
      <x:c r="A563" s="17" t="n">
        <x:v>563</x:v>
      </x:c>
      <x:c r="B563" s="17" t="str">
        <x:v>OP-1125</x:v>
      </x:c>
      <x:c r="C563" s="17" t="str">
        <x:v>OS-5058</x:v>
      </x:c>
      <x:c r="D563" s="17" t="str">
        <x:v>2026-05-09 16:30:00</x:v>
      </x:c>
      <x:c r="E563" s="17" t="str">
        <x:v>Johnson&amp;Johnson</x:v>
      </x:c>
      <x:c r="F563" s="17" t="str">
        <x:v>Leandro carvalho - 12 99158-0060</x:v>
      </x:c>
      <x:c r="G563" s="17" t="str">
        <x:v>Concluído</x:v>
      </x:c>
      <x:c r="H563" s="17" t="str">
        <x:v>Pago</x:v>
      </x:c>
      <x:c r="I563" s="21" t="n">
        <x:v>442.98</x:v>
      </x:c>
    </x:row>
    <x:row r="564" ht="15" hidden="0" customHeight="1">
      <x:c r="A564" s="17" t="n">
        <x:v>564</x:v>
      </x:c>
      <x:c r="B564" s="17" t="str">
        <x:v>OP-1130</x:v>
      </x:c>
      <x:c r="C564" s="17" t="str">
        <x:v>OS-5049</x:v>
      </x:c>
      <x:c r="D564" s="17" t="str">
        <x:v>2026-05-09 16:30:00</x:v>
      </x:c>
      <x:c r="E564" s="17" t="str">
        <x:v>Johnson&amp;Johnson</x:v>
      </x:c>
      <x:c r="F564" s="17" t="str">
        <x:v>Regina Lucia Zamith - 12 98127 8254</x:v>
      </x:c>
      <x:c r="G564" s="17" t="str">
        <x:v>Concluído</x:v>
      </x:c>
      <x:c r="H564" s="17" t="str">
        <x:v>Pago</x:v>
      </x:c>
      <x:c r="I564" s="21" t="n">
        <x:v>603.49</x:v>
      </x:c>
    </x:row>
    <x:row r="565" ht="15" hidden="0" customHeight="1">
      <x:c r="A565" s="17" t="n">
        <x:v>565</x:v>
      </x:c>
      <x:c r="B565" s="17" t="str">
        <x:v>OP-1141</x:v>
      </x:c>
      <x:c r="C565" s="17" t="str">
        <x:v>9415</x:v>
      </x:c>
      <x:c r="D565" s="17" t="str">
        <x:v>2026-05-09 16:30:00</x:v>
      </x:c>
      <x:c r="E565" s="17" t="str">
        <x:v>Johnson&amp;Johnson</x:v>
      </x:c>
      <x:c r="F565" s="17" t="str">
        <x:v>Paula Medici  - +55 12 98195-0491</x:v>
      </x:c>
      <x:c r="G565" s="17" t="str">
        <x:v>Concluído</x:v>
      </x:c>
      <x:c r="H565" s="17" t="str">
        <x:v>Pago</x:v>
      </x:c>
      <x:c r="I565" s="21" t="n">
        <x:v>491.86</x:v>
      </x:c>
    </x:row>
    <x:row r="566" ht="15" hidden="0" customHeight="1">
      <x:c r="A566" s="17" t="n">
        <x:v>566</x:v>
      </x:c>
      <x:c r="B566" s="17" t="str">
        <x:v>OP-1224</x:v>
      </x:c>
      <x:c r="C566" s="17" t="str">
        <x:v>OS-6158</x:v>
      </x:c>
      <x:c r="D566" s="17" t="str">
        <x:v>2026-05-09 17:00:00</x:v>
      </x:c>
      <x:c r="E566" s="17" t="str">
        <x:v>Boeing</x:v>
      </x:c>
      <x:c r="F566" s="17" t="str">
        <x:v>Alfredo Senda - (12) 98154-8338</x:v>
      </x:c>
      <x:c r="G566" s="17" t="str">
        <x:v>Concluído</x:v>
      </x:c>
      <x:c r="H566" s="17" t="str">
        <x:v>Pago</x:v>
      </x:c>
      <x:c r="I566" s="21" t="n">
        <x:v>396.05</x:v>
      </x:c>
    </x:row>
    <x:row r="567" ht="15" hidden="0" customHeight="1">
      <x:c r="A567" s="17" t="n">
        <x:v>567</x:v>
      </x:c>
      <x:c r="B567" s="17" t="str">
        <x:v>OP-1139</x:v>
      </x:c>
      <x:c r="C567" s="17" t="str">
        <x:v>OS-5032</x:v>
      </x:c>
      <x:c r="D567" s="17" t="str">
        <x:v>2026-05-09 18:10:00</x:v>
      </x:c>
      <x:c r="E567" s="17" t="str">
        <x:v>Johnson&amp;Johnson</x:v>
      </x:c>
      <x:c r="F567" s="17" t="str">
        <x:v>Vitor Marcondes - 012 99116-2643</x:v>
      </x:c>
      <x:c r="G567" s="17" t="str">
        <x:v>Concluído</x:v>
      </x:c>
      <x:c r="H567" s="17" t="str">
        <x:v>Pago</x:v>
      </x:c>
      <x:c r="I567" s="21" t="n">
        <x:v>442.98</x:v>
      </x:c>
    </x:row>
    <x:row r="568" ht="15" hidden="0" customHeight="1">
      <x:c r="A568" s="17" t="n">
        <x:v>568</x:v>
      </x:c>
      <x:c r="B568" s="17" t="str">
        <x:v>OP-1147</x:v>
      </x:c>
      <x:c r="C568" s="17" t="str">
        <x:v>OS-5010</x:v>
      </x:c>
      <x:c r="D568" s="17" t="str">
        <x:v>2026-05-09 20:40:00</x:v>
      </x:c>
      <x:c r="E568" s="17" t="str">
        <x:v>Kenvue</x:v>
      </x:c>
      <x:c r="F568" s="17" t="str">
        <x:v>Alicia Maltz - indeterminado</x:v>
      </x:c>
      <x:c r="G568" s="17" t="str">
        <x:v>Concluído</x:v>
      </x:c>
      <x:c r="H568" s="17" t="str">
        <x:v>Pago</x:v>
      </x:c>
      <x:c r="I568" s="21" t="n">
        <x:v>736.47</x:v>
      </x:c>
    </x:row>
    <x:row r="569" ht="15" hidden="0" customHeight="1">
      <x:c r="A569" s="17" t="n">
        <x:v>569</x:v>
      </x:c>
      <x:c r="B569" s="17" t="str">
        <x:v>OP-1172</x:v>
      </x:c>
      <x:c r="C569" s="17" t="str">
        <x:v>OS-5005</x:v>
      </x:c>
      <x:c r="D569" s="17" t="str">
        <x:v>2026-05-10 04:40:00</x:v>
      </x:c>
      <x:c r="E569" s="17" t="str">
        <x:v>Kenvue</x:v>
      </x:c>
      <x:c r="F569" s="17" t="str">
        <x:v>Ana Lemke Salvador - +5512982206413</x:v>
      </x:c>
      <x:c r="G569" s="17" t="str">
        <x:v>Concluído</x:v>
      </x:c>
      <x:c r="H569" s="17" t="str">
        <x:v>Pago</x:v>
      </x:c>
      <x:c r="I569" s="21" t="n">
        <x:v>429.35</x:v>
      </x:c>
    </x:row>
    <x:row r="570" ht="15" hidden="0" customHeight="1">
      <x:c r="A570" s="17" t="n">
        <x:v>570</x:v>
      </x:c>
      <x:c r="B570" s="17" t="str">
        <x:v>OP-1113</x:v>
      </x:c>
      <x:c r="C570" s="17" t="str">
        <x:v>OS-4326</x:v>
      </x:c>
      <x:c r="D570" s="17" t="str">
        <x:v>2026-05-10 05:00:00</x:v>
      </x:c>
      <x:c r="E570" s="17" t="str">
        <x:v>Boeing</x:v>
      </x:c>
      <x:c r="F570" s="17" t="str">
        <x:v>Raphaella Fusita Bernardini - (11)98248-8982</x:v>
      </x:c>
      <x:c r="G570" s="17" t="str">
        <x:v>Concluído</x:v>
      </x:c>
      <x:c r="H570" s="17" t="str">
        <x:v>Pago</x:v>
      </x:c>
      <x:c r="I570" s="21" t="n">
        <x:v>463.05</x:v>
      </x:c>
    </x:row>
    <x:row r="571" ht="15" hidden="0" customHeight="1">
      <x:c r="A571" s="17" t="n">
        <x:v>571</x:v>
      </x:c>
      <x:c r="B571" s="17" t="str">
        <x:v>OP-1147</x:v>
      </x:c>
      <x:c r="C571" s="17" t="str">
        <x:v>OS-5011</x:v>
      </x:c>
      <x:c r="D571" s="17" t="str">
        <x:v>2026-05-10 05:55:00</x:v>
      </x:c>
      <x:c r="E571" s="17" t="str">
        <x:v>Kenvue</x:v>
      </x:c>
      <x:c r="F571" s="17" t="str">
        <x:v>Nicolas DiNardo - indeterminado</x:v>
      </x:c>
      <x:c r="G571" s="17" t="str">
        <x:v>Concluído</x:v>
      </x:c>
      <x:c r="H571" s="17" t="str">
        <x:v>Pago</x:v>
      </x:c>
      <x:c r="I571" s="21" t="n">
        <x:v>736.47</x:v>
      </x:c>
    </x:row>
    <x:row r="572" ht="15" hidden="0" customHeight="1">
      <x:c r="A572" s="17" t="n">
        <x:v>572</x:v>
      </x:c>
      <x:c r="B572" s="17" t="str">
        <x:v>OP-1146</x:v>
      </x:c>
      <x:c r="C572" s="17" t="str">
        <x:v>OS-4360</x:v>
      </x:c>
      <x:c r="D572" s="17" t="str">
        <x:v>2026-05-10 06:00:00</x:v>
      </x:c>
      <x:c r="E572" s="17" t="str">
        <x:v>Particular</x:v>
      </x:c>
      <x:c r="F572" s="17" t="str">
        <x:v>Arthur Carregã - +55 12 99152-0687</x:v>
      </x:c>
      <x:c r="G572" s="17" t="str">
        <x:v>Concluído</x:v>
      </x:c>
      <x:c r="H572" s="17" t="str">
        <x:v>Pago</x:v>
      </x:c>
      <x:c r="I572" s="21" t="n">
        <x:v>350</x:v>
      </x:c>
    </x:row>
    <x:row r="573" ht="15" hidden="0" customHeight="1">
      <x:c r="A573" s="17" t="n">
        <x:v>573</x:v>
      </x:c>
      <x:c r="B573" s="17" t="str">
        <x:v>OP-1131</x:v>
      </x:c>
      <x:c r="C573" s="17" t="str">
        <x:v>OS-5072</x:v>
      </x:c>
      <x:c r="D573" s="17" t="str">
        <x:v>2026-05-10 06:15:00</x:v>
      </x:c>
      <x:c r="E573" s="17" t="str">
        <x:v>Johnson&amp;Johnson</x:v>
      </x:c>
      <x:c r="F573" s="17" t="str">
        <x:v>Renato Rodrigues Mendes da Silva Filho - ‪+55 81 99942‑8885‬</x:v>
      </x:c>
      <x:c r="G573" s="17" t="str">
        <x:v>Concluído</x:v>
      </x:c>
      <x:c r="H573" s="17" t="str">
        <x:v>Pago</x:v>
      </x:c>
      <x:c r="I573" s="21" t="n">
        <x:v>509.98</x:v>
      </x:c>
    </x:row>
    <x:row r="574" ht="15" hidden="0" customHeight="1">
      <x:c r="A574" s="17" t="n">
        <x:v>574</x:v>
      </x:c>
      <x:c r="B574" s="17" t="str">
        <x:v>OP-1147</x:v>
      </x:c>
      <x:c r="C574" s="17" t="str">
        <x:v>OS-5012</x:v>
      </x:c>
      <x:c r="D574" s="17" t="str">
        <x:v>2026-05-10 08:30:00</x:v>
      </x:c>
      <x:c r="E574" s="17" t="str">
        <x:v>Kenvue</x:v>
      </x:c>
      <x:c r="F574" s="17" t="str">
        <x:v>Antonio Caram - indeterminado</x:v>
      </x:c>
      <x:c r="G574" s="17" t="str">
        <x:v>Concluído</x:v>
      </x:c>
      <x:c r="H574" s="17" t="str">
        <x:v>Pago</x:v>
      </x:c>
      <x:c r="I574" s="21" t="n">
        <x:v>736.47</x:v>
      </x:c>
    </x:row>
    <x:row r="575" ht="15" hidden="0" customHeight="1">
      <x:c r="A575" s="17" t="n">
        <x:v>575</x:v>
      </x:c>
      <x:c r="B575" s="17" t="str">
        <x:v>OP-1140</x:v>
      </x:c>
      <x:c r="C575" s="17" t="str">
        <x:v>OS-5071</x:v>
      </x:c>
      <x:c r="D575" s="17" t="str">
        <x:v>2026-05-10 09:00:00</x:v>
      </x:c>
      <x:c r="E575" s="17" t="str">
        <x:v>Johnson&amp;Johnson</x:v>
      </x:c>
      <x:c r="F575" s="17" t="str">
        <x:v>Antonio Amaro - indeterminado</x:v>
      </x:c>
      <x:c r="G575" s="17" t="str">
        <x:v>Concluído</x:v>
      </x:c>
      <x:c r="H575" s="17" t="str">
        <x:v>Pago</x:v>
      </x:c>
      <x:c r="I575" s="21" t="n">
        <x:v>509.98</x:v>
      </x:c>
    </x:row>
    <x:row r="576" ht="15" hidden="0" customHeight="1">
      <x:c r="A576" s="17" t="n">
        <x:v>576</x:v>
      </x:c>
      <x:c r="B576" s="17" t="str">
        <x:v>OP-1147</x:v>
      </x:c>
      <x:c r="C576" s="17" t="str">
        <x:v>OS-5013</x:v>
      </x:c>
      <x:c r="D576" s="17" t="str">
        <x:v>2026-05-10 09:30:00</x:v>
      </x:c>
      <x:c r="E576" s="17" t="str">
        <x:v>Kenvue</x:v>
      </x:c>
      <x:c r="F576" s="17" t="str">
        <x:v>Alessandro Tajana - indeterminado</x:v>
      </x:c>
      <x:c r="G576" s="17" t="str">
        <x:v>Cancelado</x:v>
      </x:c>
      <x:c r="H576" s="17" t="str">
        <x:v>Pago</x:v>
      </x:c>
      <x:c r="I576" s="21" t="n">
        <x:v>0</x:v>
      </x:c>
    </x:row>
    <x:row r="577" ht="24" hidden="0" customHeight="1">
      <x:c r="A577" s="17" t="n">
        <x:v>577</x:v>
      </x:c>
      <x:c r="B577" s="17" t="str">
        <x:v>OP-1147</x:v>
      </x:c>
      <x:c r="C577" s="17" t="str">
        <x:v>OS-5014</x:v>
      </x:c>
      <x:c r="D577" s="17" t="str">
        <x:v>2026-05-10 18:30:00</x:v>
      </x:c>
      <x:c r="E577" s="17" t="str">
        <x:v>Kenvue</x:v>
      </x:c>
      <x:c r="F577" s="17" t="str">
        <x:v>Alessandro Tajana - indeterminado;
Nicolas DiNardo - indeterminado</x:v>
      </x:c>
      <x:c r="G577" s="17" t="str">
        <x:v>Cancelado</x:v>
      </x:c>
      <x:c r="H577" s="17" t="str">
        <x:v>Pago</x:v>
      </x:c>
      <x:c r="I577" s="21" t="n">
        <x:v>0</x:v>
      </x:c>
    </x:row>
    <x:row r="578" ht="15" hidden="0" customHeight="1">
      <x:c r="A578" s="17" t="n">
        <x:v>578</x:v>
      </x:c>
      <x:c r="B578" s="17" t="str">
        <x:v>OP-1147</x:v>
      </x:c>
      <x:c r="C578" s="17" t="str">
        <x:v>OS-5015</x:v>
      </x:c>
      <x:c r="D578" s="17" t="str">
        <x:v>2026-05-10 19:25:00</x:v>
      </x:c>
      <x:c r="E578" s="17" t="str">
        <x:v>Kenvue</x:v>
      </x:c>
      <x:c r="F578" s="17" t="str">
        <x:v>Manuela Mizraje - indeterminado</x:v>
      </x:c>
      <x:c r="G578" s="17" t="str">
        <x:v>Cancelado</x:v>
      </x:c>
      <x:c r="H578" s="17" t="str">
        <x:v>Pago</x:v>
      </x:c>
      <x:c r="I578" s="21" t="n">
        <x:v>0</x:v>
      </x:c>
    </x:row>
    <x:row r="579" ht="15" hidden="0" customHeight="1">
      <x:c r="A579" s="17" t="n">
        <x:v>579</x:v>
      </x:c>
      <x:c r="B579" s="17" t="str">
        <x:v>OP-1147</x:v>
      </x:c>
      <x:c r="C579" s="17" t="str">
        <x:v>OS-5016</x:v>
      </x:c>
      <x:c r="D579" s="17" t="str">
        <x:v>2026-05-10 20:20:00</x:v>
      </x:c>
      <x:c r="E579" s="17" t="str">
        <x:v>Kenvue</x:v>
      </x:c>
      <x:c r="F579" s="17" t="str">
        <x:v>Daniela Rivera - indeterminado</x:v>
      </x:c>
      <x:c r="G579" s="17" t="str">
        <x:v>Concluído</x:v>
      </x:c>
      <x:c r="H579" s="17" t="str">
        <x:v>Pago</x:v>
      </x:c>
      <x:c r="I579" s="21" t="n">
        <x:v>736.47</x:v>
      </x:c>
    </x:row>
    <x:row r="580" ht="15" hidden="0" customHeight="1">
      <x:c r="A580" s="17" t="n">
        <x:v>580</x:v>
      </x:c>
      <x:c r="B580" s="17" t="str">
        <x:v>OP-1147</x:v>
      </x:c>
      <x:c r="C580" s="17" t="str">
        <x:v>OS-5020</x:v>
      </x:c>
      <x:c r="D580" s="17" t="str">
        <x:v>2026-05-10 21:00:00</x:v>
      </x:c>
      <x:c r="E580" s="17" t="str">
        <x:v>Kenvue</x:v>
      </x:c>
      <x:c r="F580" s="17" t="str">
        <x:v>Maria Luz Menendez - +55 11 98294-6457 (Salete Macedo)</x:v>
      </x:c>
      <x:c r="G580" s="17" t="str">
        <x:v>Concluído</x:v>
      </x:c>
      <x:c r="H580" s="17" t="str">
        <x:v>Pago</x:v>
      </x:c>
      <x:c r="I580" s="21" t="n">
        <x:v>736.47</x:v>
      </x:c>
    </x:row>
    <x:row r="581" ht="15" hidden="0" customHeight="1">
      <x:c r="A581" s="17" t="n">
        <x:v>581</x:v>
      </x:c>
      <x:c r="B581" s="17" t="str">
        <x:v>OP-1109</x:v>
      </x:c>
      <x:c r="C581" s="17" t="str">
        <x:v>OS-4464</x:v>
      </x:c>
      <x:c r="D581" s="17" t="str">
        <x:v>2026-05-11 03:50:00</x:v>
      </x:c>
      <x:c r="E581" s="17" t="str">
        <x:v>Johnson&amp;Johnson</x:v>
      </x:c>
      <x:c r="F581" s="17" t="str">
        <x:v>Cinthia Oliveira - +55 12 98179-1900</x:v>
      </x:c>
      <x:c r="G581" s="17" t="str">
        <x:v>Concluído</x:v>
      </x:c>
      <x:c r="H581" s="17" t="str">
        <x:v>Pago</x:v>
      </x:c>
      <x:c r="I581" s="21" t="n">
        <x:v>618.74</x:v>
      </x:c>
    </x:row>
    <x:row r="582" ht="24" hidden="0" customHeight="1">
      <x:c r="A582" s="17" t="n">
        <x:v>582</x:v>
      </x:c>
      <x:c r="B582" s="17" t="str">
        <x:v>OP-1147</x:v>
      </x:c>
      <x:c r="C582" s="17" t="str">
        <x:v>OS-5021</x:v>
      </x:c>
      <x:c r="D582" s="17" t="str">
        <x:v>2026-05-11 05:00:00</x:v>
      </x:c>
      <x:c r="E582" s="17" t="str">
        <x:v>Kenvue</x:v>
      </x:c>
      <x:c r="F582" s="17" t="str">
        <x:v>Sandra Trejo - indeterminado;
Rocio Blanco - indeterminado</x:v>
      </x:c>
      <x:c r="G582" s="17" t="str">
        <x:v>Concluído</x:v>
      </x:c>
      <x:c r="H582" s="17" t="str">
        <x:v>Pago</x:v>
      </x:c>
      <x:c r="I582" s="21" t="n">
        <x:v>736.47</x:v>
      </x:c>
    </x:row>
    <x:row r="583" ht="15" hidden="0" customHeight="1">
      <x:c r="A583" s="17" t="n">
        <x:v>583</x:v>
      </x:c>
      <x:c r="B583" s="17" t="str">
        <x:v>OP-1147</x:v>
      </x:c>
      <x:c r="C583" s="17" t="str">
        <x:v>OS-5022</x:v>
      </x:c>
      <x:c r="D583" s="17" t="str">
        <x:v>2026-05-11 07:00:00</x:v>
      </x:c>
      <x:c r="E583" s="17" t="str">
        <x:v>Kenvue</x:v>
      </x:c>
      <x:c r="F583" s="17" t="str">
        <x:v>Quintus Jourbert - indeterminado</x:v>
      </x:c>
      <x:c r="G583" s="17" t="str">
        <x:v>Concluído</x:v>
      </x:c>
      <x:c r="H583" s="17" t="str">
        <x:v>Pago</x:v>
      </x:c>
      <x:c r="I583" s="21" t="n">
        <x:v>1306.41</x:v>
      </x:c>
    </x:row>
    <x:row r="584" ht="15" hidden="0" customHeight="1">
      <x:c r="A584" s="17" t="n">
        <x:v>584</x:v>
      </x:c>
      <x:c r="B584" s="17" t="str">
        <x:v>OP-1116</x:v>
      </x:c>
      <x:c r="C584" s="17" t="str">
        <x:v>OS-5034</x:v>
      </x:c>
      <x:c r="D584" s="17" t="str">
        <x:v>2026-05-11 07:00:00</x:v>
      </x:c>
      <x:c r="E584" s="17" t="str">
        <x:v>Johnson&amp;Johnson</x:v>
      </x:c>
      <x:c r="F584" s="17" t="str">
        <x:v>Poliana Brandão - +55 11 99199-2572</x:v>
      </x:c>
      <x:c r="G584" s="17" t="str">
        <x:v>Concluído</x:v>
      </x:c>
      <x:c r="H584" s="17" t="str">
        <x:v>Pago</x:v>
      </x:c>
      <x:c r="I584" s="21" t="n">
        <x:v>669.37</x:v>
      </x:c>
    </x:row>
    <x:row r="585" ht="15" hidden="0" customHeight="1">
      <x:c r="A585" s="17" t="n">
        <x:v>585</x:v>
      </x:c>
      <x:c r="B585" s="17" t="str">
        <x:v>OP-1135</x:v>
      </x:c>
      <x:c r="C585" s="17" t="str">
        <x:v>OS-5080</x:v>
      </x:c>
      <x:c r="D585" s="17" t="str">
        <x:v>2026-05-11 07:00:00</x:v>
      </x:c>
      <x:c r="E585" s="17" t="str">
        <x:v>Particular</x:v>
      </x:c>
      <x:c r="F585" s="17" t="str">
        <x:v>Giuliana - +55 12 98118-1114</x:v>
      </x:c>
      <x:c r="G585" s="17" t="str">
        <x:v>Concluído</x:v>
      </x:c>
      <x:c r="H585" s="17" t="str">
        <x:v>Pago</x:v>
      </x:c>
      <x:c r="I585" s="21" t="n">
        <x:v>442.98</x:v>
      </x:c>
    </x:row>
    <x:row r="586" ht="15" hidden="0" customHeight="1">
      <x:c r="A586" s="17" t="n">
        <x:v>586</x:v>
      </x:c>
      <x:c r="B586" s="17" t="str">
        <x:v>OP-1189</x:v>
      </x:c>
      <x:c r="C586" s="17" t="str">
        <x:v>OS-4756</x:v>
      </x:c>
      <x:c r="D586" s="17" t="str">
        <x:v>2026-05-11 07:30:00</x:v>
      </x:c>
      <x:c r="E586" s="17" t="str">
        <x:v>Johnson&amp;Johnson</x:v>
      </x:c>
      <x:c r="F586" s="17" t="str">
        <x:v>Lavínia Antonio de Souza - indeterminado</x:v>
      </x:c>
      <x:c r="G586" s="17" t="str">
        <x:v>Concluído</x:v>
      </x:c>
      <x:c r="H586" s="17" t="str">
        <x:v>Pago</x:v>
      </x:c>
      <x:c r="I586" s="21" t="n">
        <x:v>1176.63</x:v>
      </x:c>
    </x:row>
    <x:row r="587" ht="36" hidden="0" customHeight="1">
      <x:c r="A587" s="17" t="n">
        <x:v>587</x:v>
      </x:c>
      <x:c r="B587" s="17" t="str">
        <x:v>OP-1147</x:v>
      </x:c>
      <x:c r="C587" s="17" t="str">
        <x:v>OS-5082</x:v>
      </x:c>
      <x:c r="D587" s="17" t="str">
        <x:v>2026-05-11 08:00:00</x:v>
      </x:c>
      <x:c r="E587" s="17" t="str">
        <x:v>Kenvue</x:v>
      </x:c>
      <x:c r="F587" s="17" t="str">
        <x:v>Daniela Rivera - indeterminado;
Gabi Caram - indeterminado;
Nicolas DiNardo - indeterminado</x:v>
      </x:c>
      <x:c r="G587" s="17" t="str">
        <x:v>Concluído</x:v>
      </x:c>
      <x:c r="H587" s="17" t="str">
        <x:v>Pago</x:v>
      </x:c>
      <x:c r="I587" s="21" t="n">
        <x:v>348.24</x:v>
      </x:c>
    </x:row>
    <x:row r="588" ht="24" hidden="0" customHeight="1">
      <x:c r="A588" s="17" t="n">
        <x:v>588</x:v>
      </x:c>
      <x:c r="B588" s="17" t="str">
        <x:v>OP-1147</x:v>
      </x:c>
      <x:c r="C588" s="17" t="str">
        <x:v>OS-5083</x:v>
      </x:c>
      <x:c r="D588" s="17" t="str">
        <x:v>2026-05-11 08:00:00</x:v>
      </x:c>
      <x:c r="E588" s="17" t="str">
        <x:v>Kenvue</x:v>
      </x:c>
      <x:c r="F588" s="17" t="str">
        <x:v>Maria Luz Menendez - +55 11 98294-6457 (Salete Macedo);
Rocio Blanco - indeterminado</x:v>
      </x:c>
      <x:c r="G588" s="17" t="str">
        <x:v>Concluído</x:v>
      </x:c>
      <x:c r="H588" s="17" t="str">
        <x:v>Pago</x:v>
      </x:c>
      <x:c r="I588" s="21" t="n">
        <x:v>348.24</x:v>
      </x:c>
    </x:row>
    <x:row r="589" ht="15" hidden="0" customHeight="1">
      <x:c r="A589" s="17" t="n">
        <x:v>589</x:v>
      </x:c>
      <x:c r="B589" s="17" t="str">
        <x:v>OP-1189</x:v>
      </x:c>
      <x:c r="C589" s="17" t="str">
        <x:v>OS-4752</x:v>
      </x:c>
      <x:c r="D589" s="17" t="str">
        <x:v>2026-05-11 08:00:00</x:v>
      </x:c>
      <x:c r="E589" s="17" t="str">
        <x:v>Johnson&amp;Johnson</x:v>
      </x:c>
      <x:c r="F589" s="17" t="str">
        <x:v>Gabriela Vanzo Lopes da Silva - +55 12 98828-6185</x:v>
      </x:c>
      <x:c r="G589" s="17" t="str">
        <x:v>Concluído</x:v>
      </x:c>
      <x:c r="H589" s="17" t="str">
        <x:v>Pago</x:v>
      </x:c>
      <x:c r="I589" s="21" t="n">
        <x:v>2945</x:v>
      </x:c>
    </x:row>
    <x:row r="590" ht="15" hidden="0" customHeight="1">
      <x:c r="A590" s="17" t="n">
        <x:v>590</x:v>
      </x:c>
      <x:c r="B590" s="17" t="str">
        <x:v>OP-1145</x:v>
      </x:c>
      <x:c r="C590" s="17" t="str">
        <x:v>OS-5089</x:v>
      </x:c>
      <x:c r="D590" s="17" t="str">
        <x:v>2026-05-11 10:30:00</x:v>
      </x:c>
      <x:c r="E590" s="17" t="str">
        <x:v>Particular</x:v>
      </x:c>
      <x:c r="F590" s="17" t="str">
        <x:v>Idalina Leite - indeterminado</x:v>
      </x:c>
      <x:c r="G590" s="17" t="str">
        <x:v>Concluído</x:v>
      </x:c>
      <x:c r="H590" s="17" t="str">
        <x:v>Pago</x:v>
      </x:c>
      <x:c r="I590" s="21" t="n">
        <x:v>690</x:v>
      </x:c>
    </x:row>
    <x:row r="591" ht="15" hidden="0" customHeight="1">
      <x:c r="A591" s="17" t="n">
        <x:v>591</x:v>
      </x:c>
      <x:c r="B591" s="17" t="str">
        <x:v>OP-1106</x:v>
      </x:c>
      <x:c r="C591" s="17" t="str">
        <x:v>OS-5009</x:v>
      </x:c>
      <x:c r="D591" s="17" t="str">
        <x:v>2026-05-11 11:00:00</x:v>
      </x:c>
      <x:c r="E591" s="17" t="str">
        <x:v>Particular</x:v>
      </x:c>
      <x:c r="F591" s="17" t="str">
        <x:v>Sra. Angela Oliveira - +55 11 98134-8101</x:v>
      </x:c>
      <x:c r="G591" s="17" t="str">
        <x:v>Concluído</x:v>
      </x:c>
      <x:c r="H591" s="17" t="str">
        <x:v>Pago</x:v>
      </x:c>
      <x:c r="I591" s="21" t="n">
        <x:v>650</x:v>
      </x:c>
    </x:row>
    <x:row r="592" ht="15" hidden="0" customHeight="1">
      <x:c r="A592" s="17" t="n">
        <x:v>592</x:v>
      </x:c>
      <x:c r="B592" s="17" t="str">
        <x:v>OP-1134</x:v>
      </x:c>
      <x:c r="C592" s="17" t="str">
        <x:v>OS-5041</x:v>
      </x:c>
      <x:c r="D592" s="17" t="str">
        <x:v>2026-05-11 13:00:00</x:v>
      </x:c>
      <x:c r="E592" s="17" t="str">
        <x:v>Latasa Recicla BR</x:v>
      </x:c>
      <x:c r="F592" s="17" t="str">
        <x:v>Tiago Henrique Santos Xavier - (12) 99142-8629</x:v>
      </x:c>
      <x:c r="G592" s="17" t="str">
        <x:v>Concluído</x:v>
      </x:c>
      <x:c r="H592" s="17" t="str">
        <x:v>Pago</x:v>
      </x:c>
      <x:c r="I592" s="21" t="n">
        <x:v>390</x:v>
      </x:c>
    </x:row>
    <x:row r="593" ht="15" hidden="0" customHeight="1">
      <x:c r="A593" s="17" t="n">
        <x:v>593</x:v>
      </x:c>
      <x:c r="B593" s="17" t="str">
        <x:v>OP-1116</x:v>
      </x:c>
      <x:c r="C593" s="17" t="str">
        <x:v>OS-5035</x:v>
      </x:c>
      <x:c r="D593" s="17" t="str">
        <x:v>2026-05-11 14:00:00</x:v>
      </x:c>
      <x:c r="E593" s="17" t="str">
        <x:v>Johnson&amp;Johnson</x:v>
      </x:c>
      <x:c r="F593" s="17" t="str">
        <x:v>Poliana Brandão - +55 11 99199-2572</x:v>
      </x:c>
      <x:c r="G593" s="17" t="str">
        <x:v>Concluído</x:v>
      </x:c>
      <x:c r="H593" s="17" t="str">
        <x:v>Pago</x:v>
      </x:c>
      <x:c r="I593" s="21" t="n">
        <x:v>620.49</x:v>
      </x:c>
    </x:row>
    <x:row r="594" ht="15" hidden="0" customHeight="1">
      <x:c r="A594" s="17" t="n">
        <x:v>594</x:v>
      </x:c>
      <x:c r="B594" s="17" t="str">
        <x:v>OP-1162</x:v>
      </x:c>
      <x:c r="C594" s="17" t="str">
        <x:v>OS-5087</x:v>
      </x:c>
      <x:c r="D594" s="17" t="str">
        <x:v>2026-05-11 17:00:00</x:v>
      </x:c>
      <x:c r="E594" s="17" t="str">
        <x:v>Boeing</x:v>
      </x:c>
      <x:c r="F594" s="17" t="str">
        <x:v>Denis Vieira Lima - 12-997236908</x:v>
      </x:c>
      <x:c r="G594" s="17" t="str">
        <x:v>Concluído</x:v>
      </x:c>
      <x:c r="H594" s="17" t="str">
        <x:v>Pago</x:v>
      </x:c>
      <x:c r="I594" s="21" t="n">
        <x:v>396.05</x:v>
      </x:c>
    </x:row>
    <x:row r="595" ht="15" hidden="0" customHeight="1">
      <x:c r="A595" s="17" t="n">
        <x:v>595</x:v>
      </x:c>
      <x:c r="B595" s="17" t="str">
        <x:v>OP-1147</x:v>
      </x:c>
      <x:c r="C595" s="17" t="str">
        <x:v>OS-5091</x:v>
      </x:c>
      <x:c r="D595" s="17" t="str">
        <x:v>2026-05-11 18:00:00</x:v>
      </x:c>
      <x:c r="E595" s="17" t="str">
        <x:v>Kenvue</x:v>
      </x:c>
      <x:c r="F595" s="17" t="str">
        <x:v>Nicolas DiNardo - indeterminado</x:v>
      </x:c>
      <x:c r="G595" s="17" t="str">
        <x:v>Concluído</x:v>
      </x:c>
      <x:c r="H595" s="17" t="str">
        <x:v>Pago</x:v>
      </x:c>
      <x:c r="I595" s="21" t="n">
        <x:v>843.12</x:v>
      </x:c>
    </x:row>
    <x:row r="596" ht="36" hidden="0" customHeight="1">
      <x:c r="A596" s="17" t="n">
        <x:v>596</x:v>
      </x:c>
      <x:c r="B596" s="17" t="str">
        <x:v>OP-1147</x:v>
      </x:c>
      <x:c r="C596" s="17" t="str">
        <x:v>OS-5092</x:v>
      </x:c>
      <x:c r="D596" s="17" t="str">
        <x:v>2026-05-11 18:00:00</x:v>
      </x:c>
      <x:c r="E596" s="17" t="str">
        <x:v>Kenvue</x:v>
      </x:c>
      <x:c r="F596" s="17" t="str">
        <x:v>Maria Luz Menendez - +55 11 98294-6457 (Salete Macedo);
Rocio Blanco - indeterminado;
Daniela Rivera - indeterminado</x:v>
      </x:c>
      <x:c r="G596" s="17" t="str">
        <x:v>Concluído</x:v>
      </x:c>
      <x:c r="H596" s="17" t="str">
        <x:v>Pago</x:v>
      </x:c>
      <x:c r="I596" s="21" t="n">
        <x:v>348.24</x:v>
      </x:c>
    </x:row>
    <x:row r="597" ht="15" hidden="0" customHeight="1">
      <x:c r="A597" s="17" t="n">
        <x:v>597</x:v>
      </x:c>
      <x:c r="B597" s="17" t="str">
        <x:v>OP-1147</x:v>
      </x:c>
      <x:c r="C597" s="17" t="str">
        <x:v>OS-5023</x:v>
      </x:c>
      <x:c r="D597" s="17" t="str">
        <x:v>2026-05-11 20:00:00</x:v>
      </x:c>
      <x:c r="E597" s="17" t="str">
        <x:v>Kenvue</x:v>
      </x:c>
      <x:c r="F597" s="17" t="str">
        <x:v>Jose Sanches - indeterminado</x:v>
      </x:c>
      <x:c r="G597" s="17" t="str">
        <x:v>Concluído</x:v>
      </x:c>
      <x:c r="H597" s="17" t="str">
        <x:v>Pago</x:v>
      </x:c>
      <x:c r="I597" s="21" t="n">
        <x:v>736.47</x:v>
      </x:c>
    </x:row>
    <x:row r="598" ht="15" hidden="0" customHeight="1">
      <x:c r="A598" s="17" t="n">
        <x:v>598</x:v>
      </x:c>
      <x:c r="B598" s="17" t="str">
        <x:v>OP-1147</x:v>
      </x:c>
      <x:c r="C598" s="17" t="str">
        <x:v>OS-5024</x:v>
      </x:c>
      <x:c r="D598" s="17" t="str">
        <x:v>2026-05-11 22:25:00</x:v>
      </x:c>
      <x:c r="E598" s="17" t="str">
        <x:v>Kenvue</x:v>
      </x:c>
      <x:c r="F598" s="17" t="str">
        <x:v>Maria Sol Palacios - indeterminado</x:v>
      </x:c>
      <x:c r="G598" s="17" t="str">
        <x:v>Concluído</x:v>
      </x:c>
      <x:c r="H598" s="17" t="str">
        <x:v>Pago</x:v>
      </x:c>
      <x:c r="I598" s="21" t="n">
        <x:v>736.47</x:v>
      </x:c>
    </x:row>
    <x:row r="599" ht="15" hidden="0" customHeight="1">
      <x:c r="A599" s="17" t="n">
        <x:v>599</x:v>
      </x:c>
      <x:c r="B599" s="17" t="str">
        <x:v>OP-1147</x:v>
      </x:c>
      <x:c r="C599" s="17" t="str">
        <x:v>OS-5025</x:v>
      </x:c>
      <x:c r="D599" s="17" t="str">
        <x:v>2026-05-12 06:30:00</x:v>
      </x:c>
      <x:c r="E599" s="17" t="str">
        <x:v>Kenvue</x:v>
      </x:c>
      <x:c r="F599" s="17" t="str">
        <x:v>Matthew Orlando - indeterminado</x:v>
      </x:c>
      <x:c r="G599" s="17" t="str">
        <x:v>Concluído</x:v>
      </x:c>
      <x:c r="H599" s="17" t="str">
        <x:v>Pago</x:v>
      </x:c>
      <x:c r="I599" s="21" t="n">
        <x:v>1183.9</x:v>
      </x:c>
    </x:row>
    <x:row r="600" ht="15" hidden="0" customHeight="1">
      <x:c r="A600" s="17" t="n">
        <x:v>600</x:v>
      </x:c>
      <x:c r="B600" s="17" t="str">
        <x:v>OP-1118</x:v>
      </x:c>
      <x:c r="C600" s="17" t="str">
        <x:v>OS-5044</x:v>
      </x:c>
      <x:c r="D600" s="17" t="str">
        <x:v>2026-05-12 07:00:00</x:v>
      </x:c>
      <x:c r="E600" s="17" t="str">
        <x:v>Kenvue</x:v>
      </x:c>
      <x:c r="F600" s="17" t="str">
        <x:v>William Fuhrmeister - indeterminado</x:v>
      </x:c>
      <x:c r="G600" s="17" t="str">
        <x:v>Concluído</x:v>
      </x:c>
      <x:c r="H600" s="17" t="str">
        <x:v>Pago</x:v>
      </x:c>
      <x:c r="I600" s="21" t="n">
        <x:v>496.35</x:v>
      </x:c>
    </x:row>
    <x:row r="601" ht="72" hidden="0" customHeight="1">
      <x:c r="A601" s="17" t="n">
        <x:v>601</x:v>
      </x:c>
      <x:c r="B601" s="17" t="str">
        <x:v>OP-1147</x:v>
      </x:c>
      <x:c r="C601" s="17" t="str">
        <x:v>OS-5094</x:v>
      </x:c>
      <x:c r="D601" s="17" t="str">
        <x:v>2026-05-12 07:15:00</x:v>
      </x:c>
      <x:c r="E601" s="17" t="str">
        <x:v>Kenvue</x:v>
      </x:c>
      <x:c r="F601" s="17" t="str">
        <x:v>Sandra Trejo - indeterminado;
Rocio Blanco - indeterminado;
Maria Luz Menendez - +55 11 98294-6457 (Salete Macedo);
Daniela Rivera - indeterminado;
Maria Sol Palacios - indeterminado;
Antonio Caram - indeterminado</x:v>
      </x:c>
      <x:c r="G601" s="17" t="str">
        <x:v>Concluído</x:v>
      </x:c>
      <x:c r="H601" s="17" t="str">
        <x:v>Pago</x:v>
      </x:c>
      <x:c r="I601" s="21" t="n">
        <x:v>1044.72</x:v>
      </x:c>
    </x:row>
    <x:row r="602" ht="15" hidden="0" customHeight="1">
      <x:c r="A602" s="17" t="n">
        <x:v>602</x:v>
      </x:c>
      <x:c r="B602" s="17" t="str">
        <x:v>OP-1187</x:v>
      </x:c>
      <x:c r="C602" s="17" t="str">
        <x:v>OS-5099</x:v>
      </x:c>
      <x:c r="D602" s="17" t="str">
        <x:v>2026-05-12 08:30:00</x:v>
      </x:c>
      <x:c r="E602" s="17" t="str">
        <x:v>Johnson&amp;Johnson</x:v>
      </x:c>
      <x:c r="F602" s="17" t="str">
        <x:v>Alberto Cardoso - +55 12 99629-4747</x:v>
      </x:c>
      <x:c r="G602" s="17" t="str">
        <x:v>Concluído</x:v>
      </x:c>
      <x:c r="H602" s="17" t="str">
        <x:v>Pago</x:v>
      </x:c>
      <x:c r="I602" s="21" t="n">
        <x:v>139.58</x:v>
      </x:c>
    </x:row>
    <x:row r="603" ht="15" hidden="0" customHeight="1">
      <x:c r="A603" s="17" t="n">
        <x:v>603</x:v>
      </x:c>
      <x:c r="B603" s="17" t="str">
        <x:v>OP-1114</x:v>
      </x:c>
      <x:c r="C603" s="17" t="str">
        <x:v>OS-4650</x:v>
      </x:c>
      <x:c r="D603" s="17" t="str">
        <x:v>2026-05-12 09:40:00</x:v>
      </x:c>
      <x:c r="E603" s="17" t="str">
        <x:v>Boeing</x:v>
      </x:c>
      <x:c r="F603" s="17" t="str">
        <x:v>Francisco Neto - +55 12 98898-9004</x:v>
      </x:c>
      <x:c r="G603" s="17" t="str">
        <x:v>Concluído</x:v>
      </x:c>
      <x:c r="H603" s="17" t="str">
        <x:v>Pago</x:v>
      </x:c>
      <x:c r="I603" s="21" t="n">
        <x:v>463.05</x:v>
      </x:c>
    </x:row>
    <x:row r="604" ht="15" hidden="0" customHeight="1">
      <x:c r="A604" s="17" t="n">
        <x:v>604</x:v>
      </x:c>
      <x:c r="B604" s="17" t="str">
        <x:v>OP-1225</x:v>
      </x:c>
      <x:c r="C604" s="17" t="str">
        <x:v>OS-5123</x:v>
      </x:c>
      <x:c r="D604" s="17" t="str">
        <x:v>2026-05-12 11:30:00</x:v>
      </x:c>
      <x:c r="E604" s="17" t="str">
        <x:v>Johnson&amp;Johnson</x:v>
      </x:c>
      <x:c r="F604" s="17" t="str">
        <x:v>Joyce Martins - +55 (12) 98224-1785</x:v>
      </x:c>
      <x:c r="G604" s="17" t="str">
        <x:v>Concluído</x:v>
      </x:c>
      <x:c r="H604" s="17" t="str">
        <x:v>Pago</x:v>
      </x:c>
      <x:c r="I604" s="21" t="n">
        <x:v>139.58</x:v>
      </x:c>
    </x:row>
    <x:row r="605" ht="15" hidden="0" customHeight="1">
      <x:c r="A605" s="17" t="n">
        <x:v>605</x:v>
      </x:c>
      <x:c r="B605" s="17" t="str">
        <x:v>OP-1187</x:v>
      </x:c>
      <x:c r="C605" s="17" t="str">
        <x:v>OS-5100</x:v>
      </x:c>
      <x:c r="D605" s="17" t="str">
        <x:v>2026-05-12 13:00:00</x:v>
      </x:c>
      <x:c r="E605" s="17" t="str">
        <x:v>Johnson&amp;Johnson</x:v>
      </x:c>
      <x:c r="F605" s="17" t="str">
        <x:v>Alberto Cardoso - +55 12 99629-4747</x:v>
      </x:c>
      <x:c r="G605" s="17" t="str">
        <x:v>Concluído</x:v>
      </x:c>
      <x:c r="H605" s="17" t="str">
        <x:v>Pago</x:v>
      </x:c>
      <x:c r="I605" s="21" t="n">
        <x:v>139.58</x:v>
      </x:c>
    </x:row>
    <x:row r="606" ht="15" hidden="0" customHeight="1">
      <x:c r="A606" s="17" t="n">
        <x:v>606</x:v>
      </x:c>
      <x:c r="B606" s="17" t="str">
        <x:v>OP-1134</x:v>
      </x:c>
      <x:c r="C606" s="17" t="str">
        <x:v>OS-5144</x:v>
      </x:c>
      <x:c r="D606" s="17" t="str">
        <x:v>2026-05-12 13:00:00</x:v>
      </x:c>
      <x:c r="E606" s="17" t="str">
        <x:v>Latasa Recicla BR</x:v>
      </x:c>
      <x:c r="F606" s="17" t="str">
        <x:v>WANGLES CAMARGO PINHO - indeterminado</x:v>
      </x:c>
      <x:c r="G606" s="17" t="str">
        <x:v>Concluído</x:v>
      </x:c>
      <x:c r="H606" s="17" t="str">
        <x:v>Pago</x:v>
      </x:c>
      <x:c r="I606" s="21" t="n">
        <x:v>89</x:v>
      </x:c>
    </x:row>
    <x:row r="607" ht="15" hidden="0" customHeight="1">
      <x:c r="A607" s="17" t="n">
        <x:v>607</x:v>
      </x:c>
      <x:c r="B607" s="17" t="str">
        <x:v>OP-1225</x:v>
      </x:c>
      <x:c r="C607" s="17" t="str">
        <x:v>OS-5124</x:v>
      </x:c>
      <x:c r="D607" s="17" t="str">
        <x:v>2026-05-12 13:30:00</x:v>
      </x:c>
      <x:c r="E607" s="17" t="str">
        <x:v>Johnson&amp;Johnson</x:v>
      </x:c>
      <x:c r="F607" s="17" t="str">
        <x:v>Joyce Martins - +55 (12) 98224-1785</x:v>
      </x:c>
      <x:c r="G607" s="17" t="str">
        <x:v>Concluído</x:v>
      </x:c>
      <x:c r="H607" s="17" t="str">
        <x:v>Pago</x:v>
      </x:c>
      <x:c r="I607" s="21" t="n">
        <x:v>139.58</x:v>
      </x:c>
    </x:row>
    <x:row r="608" ht="15" hidden="0" customHeight="1">
      <x:c r="A608" s="17" t="n">
        <x:v>608</x:v>
      </x:c>
      <x:c r="B608" s="17" t="str">
        <x:v>OP-1134</x:v>
      </x:c>
      <x:c r="C608" s="17" t="str">
        <x:v>OS-5125</x:v>
      </x:c>
      <x:c r="D608" s="17" t="str">
        <x:v>2026-05-12 13:45:00</x:v>
      </x:c>
      <x:c r="E608" s="17" t="str">
        <x:v>Latasa Recicla BR</x:v>
      </x:c>
      <x:c r="F608" s="17" t="str">
        <x:v>Tiago Henrique Santos Xavier - (12) 99142-8629</x:v>
      </x:c>
      <x:c r="G608" s="17" t="str">
        <x:v>Concluído</x:v>
      </x:c>
      <x:c r="H608" s="17" t="str">
        <x:v>Pago</x:v>
      </x:c>
      <x:c r="I608" s="21" t="n">
        <x:v>89</x:v>
      </x:c>
    </x:row>
    <x:row r="609" ht="15" hidden="0" customHeight="1">
      <x:c r="A609" s="17" t="n">
        <x:v>609</x:v>
      </x:c>
      <x:c r="B609" s="17" t="str">
        <x:v>OP-1118</x:v>
      </x:c>
      <x:c r="C609" s="17" t="str">
        <x:v>OS-5045</x:v>
      </x:c>
      <x:c r="D609" s="17" t="str">
        <x:v>2026-05-12 16:00:00</x:v>
      </x:c>
      <x:c r="E609" s="17" t="str">
        <x:v>Kenvue</x:v>
      </x:c>
      <x:c r="F609" s="17" t="str">
        <x:v>William Fuhrmeister - indeterminado</x:v>
      </x:c>
      <x:c r="G609" s="17" t="str">
        <x:v>Concluído</x:v>
      </x:c>
      <x:c r="H609" s="17" t="str">
        <x:v>Pago</x:v>
      </x:c>
      <x:c r="I609" s="21" t="n">
        <x:v>620.49</x:v>
      </x:c>
    </x:row>
    <x:row r="610" ht="72" hidden="0" customHeight="1">
      <x:c r="A610" s="17" t="n">
        <x:v>610</x:v>
      </x:c>
      <x:c r="B610" s="17" t="str">
        <x:v>OP-1147</x:v>
      </x:c>
      <x:c r="C610" s="17" t="str">
        <x:v>OS-5097</x:v>
      </x:c>
      <x:c r="D610" s="17" t="str">
        <x:v>2026-05-12 18:00:00</x:v>
      </x:c>
      <x:c r="E610" s="17" t="str">
        <x:v>Kenvue</x:v>
      </x:c>
      <x:c r="F610" s="17" t="str">
        <x:v>Sandra Trejo - indeterminado;
Rocio Blanco - indeterminado;
Maria Luz Menendez - +55 11 98294-6457 (Salete Macedo);
Daniela Rivera - indeterminado;
Maria Sol Palacios - indeterminado;
Antonio Caram - indeterminado</x:v>
      </x:c>
      <x:c r="G610" s="17" t="str">
        <x:v>Concluído</x:v>
      </x:c>
      <x:c r="H610" s="17" t="str">
        <x:v>Pago</x:v>
      </x:c>
      <x:c r="I610" s="21" t="n">
        <x:v>2236.08</x:v>
      </x:c>
    </x:row>
    <x:row r="611" ht="24" hidden="0" customHeight="1">
      <x:c r="A611" s="17" t="n">
        <x:v>611</x:v>
      </x:c>
      <x:c r="B611" s="17" t="str">
        <x:v>OP-1147</x:v>
      </x:c>
      <x:c r="C611" s="17" t="str">
        <x:v>OS-5098</x:v>
      </x:c>
      <x:c r="D611" s="17" t="str">
        <x:v>2026-05-12 19:00:00</x:v>
      </x:c>
      <x:c r="E611" s="17" t="str">
        <x:v>Kenvue</x:v>
      </x:c>
      <x:c r="F611" s="17" t="str">
        <x:v>Matthew Orlando - indeterminado;
Quintus Jourbert - indeterminado</x:v>
      </x:c>
      <x:c r="G611" s="17" t="str">
        <x:v>Concluído</x:v>
      </x:c>
      <x:c r="H611" s="17" t="str">
        <x:v>Pago</x:v>
      </x:c>
      <x:c r="I611" s="21" t="n">
        <x:v>1817.55</x:v>
      </x:c>
    </x:row>
    <x:row r="612" ht="15" hidden="0" customHeight="1">
      <x:c r="A612" s="17" t="n">
        <x:v>612</x:v>
      </x:c>
      <x:c r="B612" s="17" t="str">
        <x:v>OP-1174</x:v>
      </x:c>
      <x:c r="C612" s="17" t="str">
        <x:v>OS-5153</x:v>
      </x:c>
      <x:c r="D612" s="17" t="str">
        <x:v>2026-05-12 20:00:00</x:v>
      </x:c>
      <x:c r="E612" s="17" t="str">
        <x:v>Kenvue</x:v>
      </x:c>
      <x:c r="F612" s="17" t="str">
        <x:v>Jeison Souza - indeterminado</x:v>
      </x:c>
      <x:c r="G612" s="17" t="str">
        <x:v>Concluído</x:v>
      </x:c>
      <x:c r="H612" s="17" t="str">
        <x:v>Pago</x:v>
      </x:c>
      <x:c r="I612" s="21" t="n">
        <x:v>1490</x:v>
      </x:c>
    </x:row>
    <x:row r="613" ht="15" hidden="0" customHeight="1">
      <x:c r="A613" s="17" t="n">
        <x:v>613</x:v>
      </x:c>
      <x:c r="B613" s="17" t="str">
        <x:v>OP-1138</x:v>
      </x:c>
      <x:c r="C613" s="17" t="str">
        <x:v>OS-4665</x:v>
      </x:c>
      <x:c r="D613" s="17" t="str">
        <x:v>2026-05-13 05:40:00</x:v>
      </x:c>
      <x:c r="E613" s="17" t="str">
        <x:v>Johnson&amp;Johnson</x:v>
      </x:c>
      <x:c r="F613" s="17" t="str">
        <x:v>Aline Galdieri - +551299165-5286</x:v>
      </x:c>
      <x:c r="G613" s="17" t="str">
        <x:v>Concluído</x:v>
      </x:c>
      <x:c r="H613" s="17" t="str">
        <x:v>Pago</x:v>
      </x:c>
      <x:c r="I613" s="21" t="n">
        <x:v>509.98</x:v>
      </x:c>
    </x:row>
    <x:row r="614" ht="36" hidden="0" customHeight="1">
      <x:c r="A614" s="17" t="n">
        <x:v>614</x:v>
      </x:c>
      <x:c r="B614" s="17" t="str">
        <x:v>OP-1226</x:v>
      </x:c>
      <x:c r="C614" s="17" t="str">
        <x:v>OS-5142</x:v>
      </x:c>
      <x:c r="D614" s="17" t="str">
        <x:v>2026-05-13 06:00:00</x:v>
      </x:c>
      <x:c r="E614" s="17" t="str">
        <x:v>Johnson&amp;Johnson</x:v>
      </x:c>
      <x:c r="F614" s="17" t="str">
        <x:v>Rafaelle Silva - +55 12 99240 2041;
Gustavo Marcon - indeterminado;
Mateus Franco - indeterminado</x:v>
      </x:c>
      <x:c r="G614" s="17" t="str">
        <x:v>Concluído</x:v>
      </x:c>
      <x:c r="H614" s="17" t="str">
        <x:v>Pago</x:v>
      </x:c>
      <x:c r="I614" s="21" t="n">
        <x:v>1109.29</x:v>
      </x:c>
    </x:row>
    <x:row r="615" ht="72" hidden="0" customHeight="1">
      <x:c r="A615" s="17" t="n">
        <x:v>615</x:v>
      </x:c>
      <x:c r="B615" s="17" t="str">
        <x:v>OP-1147</x:v>
      </x:c>
      <x:c r="C615" s="17" t="str">
        <x:v>OS-5150</x:v>
      </x:c>
      <x:c r="D615" s="17" t="str">
        <x:v>2026-05-13 07:15:00</x:v>
      </x:c>
      <x:c r="E615" s="17" t="str">
        <x:v>Kenvue</x:v>
      </x:c>
      <x:c r="F615" s="17" t="str">
        <x:v>Sandra Trejo - indeterminado;
Rocio Blanco - indeterminado;
Maria Luz Menendez - +55 11 98294-6457 (Salete Macedo);
Daniela Rivera - indeterminado;
Maria Sol Palacios - indeterminado;
Antonio Caram - indeterminado</x:v>
      </x:c>
      <x:c r="G615" s="17" t="str">
        <x:v>Cancelado</x:v>
      </x:c>
      <x:c r="H615" s="17" t="str">
        <x:v>Pago</x:v>
      </x:c>
      <x:c r="I615" s="21" t="n">
        <x:v>0</x:v>
      </x:c>
    </x:row>
    <x:row r="616" ht="96" hidden="0" customHeight="1">
      <x:c r="A616" s="17" t="n">
        <x:v>616</x:v>
      </x:c>
      <x:c r="B616" s="17" t="str">
        <x:v>OP-1147</x:v>
      </x:c>
      <x:c r="C616" s="17" t="str">
        <x:v>OS-5149</x:v>
      </x:c>
      <x:c r="D616" s="17" t="str">
        <x:v>2026-05-13 07:30:00</x:v>
      </x:c>
      <x:c r="E616" s="17" t="str">
        <x:v>Kenvue</x:v>
      </x:c>
      <x:c r="F616" s="17" t="str">
        <x:v>Sandra Trejo - indeterminado;
Rocio Blanco - indeterminado;
Maria Luz Menendez - +55 11 98294-6457 (Salete Macedo);
Daniela Rivera - indeterminado;
Maria Sol Palacios - indeterminado;
Antonio Caram - indeterminado;
Alicia Maltz - indeterminado;
Nicolas DiNardo - indeterminado</x:v>
      </x:c>
      <x:c r="G616" s="17" t="str">
        <x:v>Concluído</x:v>
      </x:c>
      <x:c r="H616" s="17" t="str">
        <x:v>Pago</x:v>
      </x:c>
      <x:c r="I616" s="21" t="n">
        <x:v>1044.72</x:v>
      </x:c>
    </x:row>
    <x:row r="617" ht="24" hidden="0" customHeight="1">
      <x:c r="A617" s="17" t="n">
        <x:v>617</x:v>
      </x:c>
      <x:c r="B617" s="17" t="str">
        <x:v>OP-1147</x:v>
      </x:c>
      <x:c r="C617" s="17" t="str">
        <x:v>OS-5151</x:v>
      </x:c>
      <x:c r="D617" s="17" t="str">
        <x:v>2026-05-13 07:30:00</x:v>
      </x:c>
      <x:c r="E617" s="17" t="str">
        <x:v>Kenvue</x:v>
      </x:c>
      <x:c r="F617" s="17" t="str">
        <x:v>Matthew Orlando - indeterminado;
Quintus Jourbert - indeterminado</x:v>
      </x:c>
      <x:c r="G617" s="17" t="str">
        <x:v>Concluído</x:v>
      </x:c>
      <x:c r="H617" s="17" t="str">
        <x:v>Pago</x:v>
      </x:c>
      <x:c r="I617" s="21" t="n">
        <x:v>725.01</x:v>
      </x:c>
    </x:row>
    <x:row r="618" ht="15" hidden="0" customHeight="1">
      <x:c r="A618" s="17" t="n">
        <x:v>618</x:v>
      </x:c>
      <x:c r="B618" s="17" t="str">
        <x:v>OP-1187</x:v>
      </x:c>
      <x:c r="C618" s="17" t="str">
        <x:v>OS-5158</x:v>
      </x:c>
      <x:c r="D618" s="17" t="str">
        <x:v>2026-05-13 08:30:00</x:v>
      </x:c>
      <x:c r="E618" s="17" t="str">
        <x:v>Johnson&amp;Johnson</x:v>
      </x:c>
      <x:c r="F618" s="17" t="str">
        <x:v>Alberto Cardoso - +55 12 99629-4747</x:v>
      </x:c>
      <x:c r="G618" s="17" t="str">
        <x:v>Concluído</x:v>
      </x:c>
      <x:c r="H618" s="17" t="str">
        <x:v>Pago</x:v>
      </x:c>
      <x:c r="I618" s="21" t="n">
        <x:v>139.58</x:v>
      </x:c>
    </x:row>
    <x:row r="619" ht="24" hidden="0" customHeight="1">
      <x:c r="A619" s="17" t="n">
        <x:v>619</x:v>
      </x:c>
      <x:c r="B619" s="17" t="str">
        <x:v>OP-1134</x:v>
      </x:c>
      <x:c r="C619" s="17" t="str">
        <x:v>OS-5176</x:v>
      </x:c>
      <x:c r="D619" s="17" t="str">
        <x:v>2026-05-13 11:00:00</x:v>
      </x:c>
      <x:c r="E619" s="17" t="str">
        <x:v>Latasa Recicla BR</x:v>
      </x:c>
      <x:c r="F619" s="17" t="str">
        <x:v>WASHINGTON LUIS MONTEIRO - 12 97410-5032;
GUSTAVO PEREIRA DE MORAES - 12 99711-9947</x:v>
      </x:c>
      <x:c r="G619" s="17" t="str">
        <x:v>Concluído</x:v>
      </x:c>
      <x:c r="H619" s="17" t="str">
        <x:v>Pago</x:v>
      </x:c>
      <x:c r="I619" s="21" t="n">
        <x:v>89</x:v>
      </x:c>
    </x:row>
    <x:row r="620" ht="15" hidden="0" customHeight="1">
      <x:c r="A620" s="17" t="n">
        <x:v>620</x:v>
      </x:c>
      <x:c r="B620" s="17" t="str">
        <x:v>OP-1134</x:v>
      </x:c>
      <x:c r="C620" s="17" t="str">
        <x:v>OS-5175</x:v>
      </x:c>
      <x:c r="D620" s="17" t="str">
        <x:v>2026-05-13 12:10:00</x:v>
      </x:c>
      <x:c r="E620" s="17" t="str">
        <x:v>Latasa Recicla BR</x:v>
      </x:c>
      <x:c r="F620" s="17" t="str">
        <x:v>ROBSON GONCALVES PEREIRA - 12 98205-6982</x:v>
      </x:c>
      <x:c r="G620" s="17" t="str">
        <x:v>Concluído</x:v>
      </x:c>
      <x:c r="H620" s="17" t="str">
        <x:v>Pago</x:v>
      </x:c>
      <x:c r="I620" s="21" t="n">
        <x:v>89</x:v>
      </x:c>
    </x:row>
    <x:row r="621" ht="15" hidden="0" customHeight="1">
      <x:c r="A621" s="17" t="n">
        <x:v>621</x:v>
      </x:c>
      <x:c r="B621" s="17" t="str">
        <x:v>OP-1187</x:v>
      </x:c>
      <x:c r="C621" s="17" t="str">
        <x:v>OS-5101</x:v>
      </x:c>
      <x:c r="D621" s="17" t="str">
        <x:v>2026-05-13 16:00:00</x:v>
      </x:c>
      <x:c r="E621" s="17" t="str">
        <x:v>Johnson&amp;Johnson</x:v>
      </x:c>
      <x:c r="F621" s="17" t="str">
        <x:v>Alberto Cardoso - +55 12 99629-4747</x:v>
      </x:c>
      <x:c r="G621" s="17" t="str">
        <x:v>Concluído</x:v>
      </x:c>
      <x:c r="H621" s="17" t="str">
        <x:v>Pago</x:v>
      </x:c>
      <x:c r="I621" s="21" t="n">
        <x:v>139.58</x:v>
      </x:c>
    </x:row>
    <x:row r="622" ht="96" hidden="0" customHeight="1">
      <x:c r="A622" s="17" t="n">
        <x:v>622</x:v>
      </x:c>
      <x:c r="B622" s="17" t="str">
        <x:v>OP-1147</x:v>
      </x:c>
      <x:c r="C622" s="17" t="str">
        <x:v>OS-5154</x:v>
      </x:c>
      <x:c r="D622" s="17" t="str">
        <x:v>2026-05-13 18:30:00</x:v>
      </x:c>
      <x:c r="E622" s="17" t="str">
        <x:v>Kenvue</x:v>
      </x:c>
      <x:c r="F622" s="17" t="str">
        <x:v>Sandra Trejo - indeterminado;
Rocio Blanco - indeterminado;
Maria Luz Menendez - +55 11 98294-6457 (Salete Macedo);
Daniela Rivera - indeterminado;
Maria Sol Palacios - indeterminado;
Antonio Caram - indeterminado;
Alicia Maltz - indeterminado;
Nicolas DiNardo - indeterminado</x:v>
      </x:c>
      <x:c r="G622" s="17" t="str">
        <x:v>Concluído</x:v>
      </x:c>
      <x:c r="H622" s="17" t="str">
        <x:v>Pago</x:v>
      </x:c>
      <x:c r="I622" s="21" t="n">
        <x:v>2236.08</x:v>
      </x:c>
    </x:row>
    <x:row r="623" ht="24" hidden="0" customHeight="1">
      <x:c r="A623" s="17" t="n">
        <x:v>623</x:v>
      </x:c>
      <x:c r="B623" s="17" t="str">
        <x:v>OP-1147</x:v>
      </x:c>
      <x:c r="C623" s="17" t="str">
        <x:v>OS-5155</x:v>
      </x:c>
      <x:c r="D623" s="17" t="str">
        <x:v>2026-05-13 18:30:00</x:v>
      </x:c>
      <x:c r="E623" s="17" t="str">
        <x:v>Kenvue</x:v>
      </x:c>
      <x:c r="F623" s="17" t="str">
        <x:v>Matthew Orlando - indeterminado;
Quintus Jourbert - indeterminado</x:v>
      </x:c>
      <x:c r="G623" s="17" t="str">
        <x:v>Concluído</x:v>
      </x:c>
      <x:c r="H623" s="17" t="str">
        <x:v>Pago</x:v>
      </x:c>
      <x:c r="I623" s="21" t="n">
        <x:v>1817.55</x:v>
      </x:c>
    </x:row>
    <x:row r="624" ht="15" hidden="0" customHeight="1">
      <x:c r="A624" s="17" t="n">
        <x:v>624</x:v>
      </x:c>
      <x:c r="B624" s="17" t="str">
        <x:v>OP-1174</x:v>
      </x:c>
      <x:c r="C624" s="17" t="str">
        <x:v>OS-5164</x:v>
      </x:c>
      <x:c r="D624" s="17" t="str">
        <x:v>2026-05-13 20:00:00</x:v>
      </x:c>
      <x:c r="E624" s="17" t="str">
        <x:v>Kenvue</x:v>
      </x:c>
      <x:c r="F624" s="17" t="str">
        <x:v>Jeison Souza - indeterminado</x:v>
      </x:c>
      <x:c r="G624" s="17" t="str">
        <x:v>Concluído</x:v>
      </x:c>
      <x:c r="H624" s="17" t="str">
        <x:v>Pago</x:v>
      </x:c>
      <x:c r="I624" s="21" t="n">
        <x:v>1490</x:v>
      </x:c>
    </x:row>
    <x:row r="625" ht="15" hidden="0" customHeight="1">
      <x:c r="A625" s="17" t="n">
        <x:v>625</x:v>
      </x:c>
      <x:c r="B625" s="17" t="str">
        <x:v>OP-1148</x:v>
      </x:c>
      <x:c r="C625" s="17" t="str">
        <x:v>OS-5126</x:v>
      </x:c>
      <x:c r="D625" s="17" t="str">
        <x:v>2026-05-14 06:00:00</x:v>
      </x:c>
      <x:c r="E625" s="17" t="str">
        <x:v>Kenvue</x:v>
      </x:c>
      <x:c r="F625" s="17" t="str">
        <x:v>Andressa Peyrot - 51 991104276</x:v>
      </x:c>
      <x:c r="G625" s="17" t="str">
        <x:v>Concluído</x:v>
      </x:c>
      <x:c r="H625" s="17" t="str">
        <x:v>Pago</x:v>
      </x:c>
      <x:c r="I625" s="21" t="n">
        <x:v>2651.03</x:v>
      </x:c>
    </x:row>
    <x:row r="626" ht="15" hidden="0" customHeight="1">
      <x:c r="A626" s="17" t="n">
        <x:v>626</x:v>
      </x:c>
      <x:c r="B626" s="17" t="str">
        <x:v>OP-1126</x:v>
      </x:c>
      <x:c r="C626" s="17" t="str">
        <x:v>OS-4822</x:v>
      </x:c>
      <x:c r="D626" s="17" t="str">
        <x:v>2026-05-14 07:00:00</x:v>
      </x:c>
      <x:c r="E626" s="17" t="str">
        <x:v>Johnson&amp;Johnson</x:v>
      </x:c>
      <x:c r="F626" s="17" t="str">
        <x:v>Marcos Vinicius dos Santos - (12) 99783-8214</x:v>
      </x:c>
      <x:c r="G626" s="17" t="str">
        <x:v>Concluído</x:v>
      </x:c>
      <x:c r="H626" s="17" t="str">
        <x:v>Pago</x:v>
      </x:c>
      <x:c r="I626" s="21" t="n">
        <x:v>558.86</x:v>
      </x:c>
    </x:row>
    <x:row r="627" ht="36" hidden="0" customHeight="1">
      <x:c r="A627" s="17" t="n">
        <x:v>627</x:v>
      </x:c>
      <x:c r="B627" s="17" t="str">
        <x:v>OP-1147</x:v>
      </x:c>
      <x:c r="C627" s="17" t="str">
        <x:v>OS-5185</x:v>
      </x:c>
      <x:c r="D627" s="17" t="str">
        <x:v>2026-05-14 08:00:00</x:v>
      </x:c>
      <x:c r="E627" s="17" t="str">
        <x:v>Kenvue</x:v>
      </x:c>
      <x:c r="F627" s="17" t="str">
        <x:v>Matthew Orlando - indeterminado;
Maria Luz Menendez - +55 11 98294-6457 (Salete Macedo);
Quintus Jourbert - indeterminado</x:v>
      </x:c>
      <x:c r="G627" s="17" t="str">
        <x:v>Concluído</x:v>
      </x:c>
      <x:c r="H627" s="17" t="str">
        <x:v>Pago</x:v>
      </x:c>
      <x:c r="I627" s="21" t="n">
        <x:v>1817.55</x:v>
      </x:c>
    </x:row>
    <x:row r="628" ht="36" hidden="0" customHeight="1">
      <x:c r="A628" s="17" t="n">
        <x:v>628</x:v>
      </x:c>
      <x:c r="B628" s="17" t="str">
        <x:v>OP-1147</x:v>
      </x:c>
      <x:c r="C628" s="17" t="str">
        <x:v>OS-5186</x:v>
      </x:c>
      <x:c r="D628" s="17" t="str">
        <x:v>2026-05-14 08:00:00</x:v>
      </x:c>
      <x:c r="E628" s="17" t="str">
        <x:v>Kenvue</x:v>
      </x:c>
      <x:c r="F628" s="17" t="str">
        <x:v>Matthew Orlando - indeterminado;
Maria Luz Menendez - +55 11 98294-6457 (Salete Macedo);
Quintus Jourbert - indeterminado</x:v>
      </x:c>
      <x:c r="G628" s="17" t="str">
        <x:v>Concluído</x:v>
      </x:c>
      <x:c r="H628" s="17" t="str">
        <x:v>Pago</x:v>
      </x:c>
      <x:c r="I628" s="21" t="n">
        <x:v>843.12</x:v>
      </x:c>
    </x:row>
    <x:row r="629" ht="60" hidden="0" customHeight="1">
      <x:c r="A629" s="17" t="n">
        <x:v>629</x:v>
      </x:c>
      <x:c r="B629" s="17" t="str">
        <x:v>OP-1147</x:v>
      </x:c>
      <x:c r="C629" s="17" t="str">
        <x:v>OS-5187</x:v>
      </x:c>
      <x:c r="D629" s="17" t="str">
        <x:v>2026-05-14 08:00:00</x:v>
      </x:c>
      <x:c r="E629" s="17" t="str">
        <x:v>Kenvue</x:v>
      </x:c>
      <x:c r="F629" s="17" t="str">
        <x:v>Alicia Maltz - indeterminado;
Antonio Caram - indeterminado;
Rocio Blanco - indeterminado;
Sandra Trejo - indeterminado;
Maria Sol Palacios - indeterminado</x:v>
      </x:c>
      <x:c r="G629" s="17" t="str">
        <x:v>Concluído</x:v>
      </x:c>
      <x:c r="H629" s="17" t="str">
        <x:v>Pago</x:v>
      </x:c>
      <x:c r="I629" s="21" t="n">
        <x:v>843.12</x:v>
      </x:c>
    </x:row>
    <x:row r="630" ht="36" hidden="0" customHeight="1">
      <x:c r="A630" s="17" t="n">
        <x:v>630</x:v>
      </x:c>
      <x:c r="B630" s="17" t="str">
        <x:v>OP-1147</x:v>
      </x:c>
      <x:c r="C630" s="17" t="str">
        <x:v>OS-5188</x:v>
      </x:c>
      <x:c r="D630" s="17" t="str">
        <x:v>2026-05-14 08:00:00</x:v>
      </x:c>
      <x:c r="E630" s="17" t="str">
        <x:v>Kenvue</x:v>
      </x:c>
      <x:c r="F630" s="17" t="str">
        <x:v>Matthew Orlando - indeterminado;
Maria Luz Menendez - +55 11 98294-6457 (Salete Macedo);
Quintus Jourbert - indeterminado</x:v>
      </x:c>
      <x:c r="G630" s="17" t="str">
        <x:v>Cancelado</x:v>
      </x:c>
      <x:c r="H630" s="17" t="str">
        <x:v>Pago</x:v>
      </x:c>
      <x:c r="I630" s="21" t="n">
        <x:v>0</x:v>
      </x:c>
    </x:row>
    <x:row r="631" ht="60" hidden="0" customHeight="1">
      <x:c r="A631" s="17" t="n">
        <x:v>631</x:v>
      </x:c>
      <x:c r="B631" s="17" t="str">
        <x:v>OP-1147</x:v>
      </x:c>
      <x:c r="C631" s="17" t="str">
        <x:v>OS-5189</x:v>
      </x:c>
      <x:c r="D631" s="17" t="str">
        <x:v>2026-05-14 08:00:00</x:v>
      </x:c>
      <x:c r="E631" s="17" t="str">
        <x:v>Kenvue</x:v>
      </x:c>
      <x:c r="F631" s="17" t="str">
        <x:v>Alicia Maltz - indeterminado;
Antonio Caram - indeterminado;
Rocio Blanco - indeterminado;
Sandra Trejo - indeterminado;
Maria Sol Palacios - indeterminado</x:v>
      </x:c>
      <x:c r="G631" s="17" t="str">
        <x:v>Concluído</x:v>
      </x:c>
      <x:c r="H631" s="17" t="str">
        <x:v>Pago</x:v>
      </x:c>
      <x:c r="I631" s="21" t="n">
        <x:v>843.12</x:v>
      </x:c>
    </x:row>
    <x:row r="632" ht="24" hidden="0" customHeight="1">
      <x:c r="A632" s="17" t="n">
        <x:v>632</x:v>
      </x:c>
      <x:c r="B632" s="17" t="str">
        <x:v>OP-1147</x:v>
      </x:c>
      <x:c r="C632" s="17" t="str">
        <x:v>OS-5190</x:v>
      </x:c>
      <x:c r="D632" s="17" t="str">
        <x:v>2026-05-14 08:00:00</x:v>
      </x:c>
      <x:c r="E632" s="17" t="str">
        <x:v>Kenvue</x:v>
      </x:c>
      <x:c r="F632" s="17" t="str">
        <x:v>Daniela Rivera - indeterminado;
Jose Sanches - indeterminado</x:v>
      </x:c>
      <x:c r="G632" s="17" t="str">
        <x:v>Concluído</x:v>
      </x:c>
      <x:c r="H632" s="17" t="str">
        <x:v>Pago</x:v>
      </x:c>
      <x:c r="I632" s="21" t="n">
        <x:v>348.24</x:v>
      </x:c>
    </x:row>
    <x:row r="633" ht="15" hidden="0" customHeight="1">
      <x:c r="A633" s="17" t="n">
        <x:v>633</x:v>
      </x:c>
      <x:c r="B633" s="17" t="str">
        <x:v>OP-1187</x:v>
      </x:c>
      <x:c r="C633" s="17" t="str">
        <x:v>OS-5211</x:v>
      </x:c>
      <x:c r="D633" s="17" t="str">
        <x:v>2026-05-14 08:30:00</x:v>
      </x:c>
      <x:c r="E633" s="17" t="str">
        <x:v>Johnson&amp;Johnson</x:v>
      </x:c>
      <x:c r="F633" s="17" t="str">
        <x:v>Alberto Cardoso - +55 12 99629-4747</x:v>
      </x:c>
      <x:c r="G633" s="17" t="str">
        <x:v>Concluído</x:v>
      </x:c>
      <x:c r="H633" s="17" t="str">
        <x:v>Pago</x:v>
      </x:c>
      <x:c r="I633" s="21" t="n">
        <x:v>139.58</x:v>
      </x:c>
    </x:row>
    <x:row r="634" ht="15" hidden="0" customHeight="1">
      <x:c r="A634" s="17" t="n">
        <x:v>634</x:v>
      </x:c>
      <x:c r="B634" s="17" t="str">
        <x:v>OP-1127</x:v>
      </x:c>
      <x:c r="C634" s="17" t="str">
        <x:v>OS-4842</x:v>
      </x:c>
      <x:c r="D634" s="17" t="str">
        <x:v>2026-05-14 09:00:00</x:v>
      </x:c>
      <x:c r="E634" s="17" t="str">
        <x:v>Boeing</x:v>
      </x:c>
      <x:c r="F634" s="17" t="str">
        <x:v>Carlos Mourao - 12 981132570</x:v>
      </x:c>
      <x:c r="G634" s="17" t="str">
        <x:v>Concluído</x:v>
      </x:c>
      <x:c r="H634" s="17" t="str">
        <x:v>Pago</x:v>
      </x:c>
      <x:c r="I634" s="21" t="n">
        <x:v>463.05</x:v>
      </x:c>
    </x:row>
    <x:row r="635" ht="15" hidden="0" customHeight="1">
      <x:c r="A635" s="17" t="n">
        <x:v>635</x:v>
      </x:c>
      <x:c r="B635" s="17" t="str">
        <x:v>OP-1125</x:v>
      </x:c>
      <x:c r="C635" s="17" t="str">
        <x:v>OS-5059</x:v>
      </x:c>
      <x:c r="D635" s="17" t="str">
        <x:v>2026-05-14 09:50:00</x:v>
      </x:c>
      <x:c r="E635" s="17" t="str">
        <x:v>Johnson&amp;Johnson</x:v>
      </x:c>
      <x:c r="F635" s="17" t="str">
        <x:v>Leandro carvalho - 12 99158-0060</x:v>
      </x:c>
      <x:c r="G635" s="17" t="str">
        <x:v>Concluído</x:v>
      </x:c>
      <x:c r="H635" s="17" t="str">
        <x:v>Pago</x:v>
      </x:c>
      <x:c r="I635" s="21" t="n">
        <x:v>509.98</x:v>
      </x:c>
    </x:row>
    <x:row r="636" ht="15" hidden="0" customHeight="1">
      <x:c r="A636" s="17" t="n">
        <x:v>636</x:v>
      </x:c>
      <x:c r="B636" s="17" t="str">
        <x:v>OP-1134</x:v>
      </x:c>
      <x:c r="C636" s="17" t="str">
        <x:v>OS-5227</x:v>
      </x:c>
      <x:c r="D636" s="17" t="str">
        <x:v>2026-05-14 10:30:00</x:v>
      </x:c>
      <x:c r="E636" s="17" t="str">
        <x:v>Latasa Recicla BR</x:v>
      </x:c>
      <x:c r="F636" s="17" t="str">
        <x:v>CARLOS ALBERTO SALES DA SILVA - indeterminado</x:v>
      </x:c>
      <x:c r="G636" s="17" t="str">
        <x:v>Concluído</x:v>
      </x:c>
      <x:c r="H636" s="17" t="str">
        <x:v>Pago</x:v>
      </x:c>
      <x:c r="I636" s="21" t="n">
        <x:v>89</x:v>
      </x:c>
    </x:row>
    <x:row r="637" ht="24" hidden="0" customHeight="1">
      <x:c r="A637" s="17" t="n">
        <x:v>637</x:v>
      </x:c>
      <x:c r="B637" s="17" t="str">
        <x:v>OP-1134</x:v>
      </x:c>
      <x:c r="C637" s="17" t="str">
        <x:v>OS-5226</x:v>
      </x:c>
      <x:c r="D637" s="17" t="str">
        <x:v>2026-05-14 11:00:00</x:v>
      </x:c>
      <x:c r="E637" s="17" t="str">
        <x:v>Latasa Recicla BR</x:v>
      </x:c>
      <x:c r="F637" s="17" t="str">
        <x:v>SAMUEL ROXADELLI GARUFFI - 12) 99235-8761;
BRUNO GONCALVES DOS REIS - (12) 99160-5835</x:v>
      </x:c>
      <x:c r="G637" s="17" t="str">
        <x:v>Concluído</x:v>
      </x:c>
      <x:c r="H637" s="17" t="str">
        <x:v>Pago</x:v>
      </x:c>
      <x:c r="I637" s="21" t="n">
        <x:v>89</x:v>
      </x:c>
    </x:row>
    <x:row r="638" ht="15" hidden="0" customHeight="1">
      <x:c r="A638" s="17" t="n">
        <x:v>638</x:v>
      </x:c>
      <x:c r="B638" s="17" t="str">
        <x:v>OP-1187</x:v>
      </x:c>
      <x:c r="C638" s="17" t="str">
        <x:v>OS-5102</x:v>
      </x:c>
      <x:c r="D638" s="17" t="str">
        <x:v>2026-05-14 16:00:00</x:v>
      </x:c>
      <x:c r="E638" s="17" t="str">
        <x:v>Johnson&amp;Johnson</x:v>
      </x:c>
      <x:c r="F638" s="17" t="str">
        <x:v>Alberto Cardoso - +55 12 99629-4747</x:v>
      </x:c>
      <x:c r="G638" s="17" t="str">
        <x:v>Concluído</x:v>
      </x:c>
      <x:c r="H638" s="17" t="str">
        <x:v>Pago</x:v>
      </x:c>
      <x:c r="I638" s="21" t="n">
        <x:v>139.58</x:v>
      </x:c>
    </x:row>
    <x:row r="639" ht="15" hidden="0" customHeight="1">
      <x:c r="A639" s="17" t="n">
        <x:v>639</x:v>
      </x:c>
      <x:c r="B639" s="17" t="str">
        <x:v>OP-1147</x:v>
      </x:c>
      <x:c r="C639" s="17" t="str">
        <x:v>OS-5240</x:v>
      </x:c>
      <x:c r="D639" s="17" t="str">
        <x:v>2026-05-14 16:15:00</x:v>
      </x:c>
      <x:c r="E639" s="17" t="str">
        <x:v>Kenvue</x:v>
      </x:c>
      <x:c r="F639" s="17" t="str">
        <x:v>Antonio Caram - indeterminado</x:v>
      </x:c>
      <x:c r="G639" s="17" t="str">
        <x:v>Concluído</x:v>
      </x:c>
      <x:c r="H639" s="17" t="str">
        <x:v>Pago</x:v>
      </x:c>
      <x:c r="I639" s="21" t="n">
        <x:v>449</x:v>
      </x:c>
    </x:row>
    <x:row r="640" ht="24" hidden="0" customHeight="1">
      <x:c r="A640" s="17" t="n">
        <x:v>640</x:v>
      </x:c>
      <x:c r="B640" s="17" t="str">
        <x:v>OP-1147</x:v>
      </x:c>
      <x:c r="C640" s="17" t="str">
        <x:v>OS-5195</x:v>
      </x:c>
      <x:c r="D640" s="17" t="str">
        <x:v>2026-05-14 16:30:00</x:v>
      </x:c>
      <x:c r="E640" s="17" t="str">
        <x:v>Kenvue</x:v>
      </x:c>
      <x:c r="F640" s="17" t="str">
        <x:v>Quintus Jourbert - indeterminado;
Nicolas DiNardo - indeterminado</x:v>
      </x:c>
      <x:c r="G640" s="17" t="str">
        <x:v>Concluído</x:v>
      </x:c>
      <x:c r="H640" s="17" t="str">
        <x:v>Pago</x:v>
      </x:c>
      <x:c r="I640" s="21" t="n">
        <x:v>1183.9</x:v>
      </x:c>
    </x:row>
    <x:row r="641" ht="24" hidden="0" customHeight="1">
      <x:c r="A641" s="17" t="n">
        <x:v>641</x:v>
      </x:c>
      <x:c r="B641" s="17" t="str">
        <x:v>OP-1147</x:v>
      </x:c>
      <x:c r="C641" s="17" t="str">
        <x:v>OS-5196</x:v>
      </x:c>
      <x:c r="D641" s="17" t="str">
        <x:v>2026-05-14 17:45:00</x:v>
      </x:c>
      <x:c r="E641" s="17" t="str">
        <x:v>Kenvue</x:v>
      </x:c>
      <x:c r="F641" s="17" t="str">
        <x:v>Matthew Orlando - indeterminado;
Alicia Maltz - indeterminado</x:v>
      </x:c>
      <x:c r="G641" s="17" t="str">
        <x:v>Concluído</x:v>
      </x:c>
      <x:c r="H641" s="17" t="str">
        <x:v>Pago</x:v>
      </x:c>
      <x:c r="I641" s="21" t="n">
        <x:v>1183.9</x:v>
      </x:c>
    </x:row>
    <x:row r="642" ht="60" hidden="0" customHeight="1">
      <x:c r="A642" s="17" t="n">
        <x:v>642</x:v>
      </x:c>
      <x:c r="B642" s="17" t="str">
        <x:v>OP-1147</x:v>
      </x:c>
      <x:c r="C642" s="17" t="str">
        <x:v>OS-5209</x:v>
      </x:c>
      <x:c r="D642" s="17" t="str">
        <x:v>2026-05-14 18:00:00</x:v>
      </x:c>
      <x:c r="E642" s="17" t="str">
        <x:v>Kenvue</x:v>
      </x:c>
      <x:c r="F642" s="17" t="str">
        <x:v>Daniela Rivera - indeterminado;
Maria Luz Menendez - +55 11 98294-6457 (Salete Macedo);
Rocio Blanco - indeterminado;
Sandra Trejo - indeterminado;
Maria Sol Palacios - indeterminado</x:v>
      </x:c>
      <x:c r="G642" s="17" t="str">
        <x:v>Concluído</x:v>
      </x:c>
      <x:c r="H642" s="17" t="str">
        <x:v>Pago</x:v>
      </x:c>
      <x:c r="I642" s="21" t="n">
        <x:v>348.24</x:v>
      </x:c>
    </x:row>
    <x:row r="643" ht="60" hidden="0" customHeight="1">
      <x:c r="A643" s="17" t="n">
        <x:v>643</x:v>
      </x:c>
      <x:c r="B643" s="17" t="str">
        <x:v>OP-1147</x:v>
      </x:c>
      <x:c r="C643" s="17" t="str">
        <x:v>OS-5210</x:v>
      </x:c>
      <x:c r="D643" s="17" t="str">
        <x:v>2026-05-14 18:00:00</x:v>
      </x:c>
      <x:c r="E643" s="17" t="str">
        <x:v>Kenvue</x:v>
      </x:c>
      <x:c r="F643" s="17" t="str">
        <x:v>Daniela Rivera - indeterminado;
Maria Luz Menendez - +55 11 98294-6457 (Salete Macedo);
Rocio Blanco - indeterminado;
Sandra Trejo - indeterminado;
Maria Sol Palacios - indeterminado</x:v>
      </x:c>
      <x:c r="G643" s="17" t="str">
        <x:v>Concluído</x:v>
      </x:c>
      <x:c r="H643" s="17" t="str">
        <x:v>Pago</x:v>
      </x:c>
      <x:c r="I643" s="21" t="n">
        <x:v>696.48</x:v>
      </x:c>
    </x:row>
    <x:row r="644" ht="60" hidden="0" customHeight="1">
      <x:c r="A644" s="17" t="n">
        <x:v>644</x:v>
      </x:c>
      <x:c r="B644" s="17" t="str">
        <x:v>OP-1147</x:v>
      </x:c>
      <x:c r="C644" s="17" t="str">
        <x:v>OS-5261</x:v>
      </x:c>
      <x:c r="D644" s="17" t="str">
        <x:v>2026-05-14 19:10:00</x:v>
      </x:c>
      <x:c r="E644" s="17" t="str">
        <x:v>Kenvue</x:v>
      </x:c>
      <x:c r="F644" s="17" t="str">
        <x:v>Daniela Rivera - indeterminado;
Maria Luz Menendez - +55 11 98294-6457 (Salete Macedo);
Rocio Blanco - indeterminado;
Sandra Trejo - indeterminado;
Maria Sol Palacios - indeterminado</x:v>
      </x:c>
      <x:c r="G644" s="17" t="str">
        <x:v>Concluído</x:v>
      </x:c>
      <x:c r="H644" s="17" t="str">
        <x:v>Pago</x:v>
      </x:c>
      <x:c r="I644" s="21" t="n">
        <x:v>696.48</x:v>
      </x:c>
    </x:row>
    <x:row r="645" ht="15" hidden="0" customHeight="1">
      <x:c r="A645" s="17" t="n">
        <x:v>645</x:v>
      </x:c>
      <x:c r="B645" s="17" t="str">
        <x:v>OP-1135</x:v>
      </x:c>
      <x:c r="C645" s="17" t="str">
        <x:v>OS-5274</x:v>
      </x:c>
      <x:c r="D645" s="17" t="str">
        <x:v>2026-05-14 20:00:00</x:v>
      </x:c>
      <x:c r="E645" s="17" t="str">
        <x:v>Particular</x:v>
      </x:c>
      <x:c r="F645" s="17" t="str">
        <x:v>Giuliana Pessoa - +55 12 98118-1114</x:v>
      </x:c>
      <x:c r="G645" s="17" t="str">
        <x:v>Concluído</x:v>
      </x:c>
      <x:c r="H645" s="17" t="str">
        <x:v>Pago</x:v>
      </x:c>
      <x:c r="I645" s="21" t="n">
        <x:v>442.98</x:v>
      </x:c>
    </x:row>
    <x:row r="646" ht="15" hidden="0" customHeight="1">
      <x:c r="A646" s="17" t="n">
        <x:v>646</x:v>
      </x:c>
      <x:c r="B646" s="17" t="str">
        <x:v>OP-1174</x:v>
      </x:c>
      <x:c r="C646" s="17" t="str">
        <x:v>OS-5222</x:v>
      </x:c>
      <x:c r="D646" s="17" t="str">
        <x:v>2026-05-14 20:00:00</x:v>
      </x:c>
      <x:c r="E646" s="17" t="str">
        <x:v>Kenvue</x:v>
      </x:c>
      <x:c r="F646" s="17" t="str">
        <x:v>Jeison Souza - indeterminado</x:v>
      </x:c>
      <x:c r="G646" s="17" t="str">
        <x:v>Concluído</x:v>
      </x:c>
      <x:c r="H646" s="17" t="str">
        <x:v>Pago</x:v>
      </x:c>
      <x:c r="I646" s="21" t="n">
        <x:v>1490</x:v>
      </x:c>
    </x:row>
    <x:row r="647" ht="24" hidden="0" customHeight="1">
      <x:c r="A647" s="17" t="n">
        <x:v>647</x:v>
      </x:c>
      <x:c r="B647" s="17" t="str">
        <x:v>OP-1147</x:v>
      </x:c>
      <x:c r="C647" s="17" t="str">
        <x:v>OS-5243</x:v>
      </x:c>
      <x:c r="D647" s="17" t="str">
        <x:v>2026-05-15 04:30:00</x:v>
      </x:c>
      <x:c r="E647" s="17" t="str">
        <x:v>Kenvue</x:v>
      </x:c>
      <x:c r="F647" s="17" t="str">
        <x:v>Daniela Rivera - indeterminado;
Jose Sanches - indeterminado</x:v>
      </x:c>
      <x:c r="G647" s="17" t="str">
        <x:v>Concluído</x:v>
      </x:c>
      <x:c r="H647" s="17" t="str">
        <x:v>Pago</x:v>
      </x:c>
      <x:c r="I647" s="21" t="n">
        <x:v>620.59</x:v>
      </x:c>
    </x:row>
    <x:row r="648" ht="24" hidden="0" customHeight="1">
      <x:c r="A648" s="17" t="n">
        <x:v>648</x:v>
      </x:c>
      <x:c r="B648" s="17" t="str">
        <x:v>OP-1147</x:v>
      </x:c>
      <x:c r="C648" s="17" t="str">
        <x:v>OS-5244</x:v>
      </x:c>
      <x:c r="D648" s="17" t="str">
        <x:v>2026-05-15 05:00:00</x:v>
      </x:c>
      <x:c r="E648" s="17" t="str">
        <x:v>Kenvue</x:v>
      </x:c>
      <x:c r="F648" s="17" t="str">
        <x:v>Sandra Trejo - indeterminado;
Rocio Blanco - indeterminado</x:v>
      </x:c>
      <x:c r="G648" s="17" t="str">
        <x:v>Concluído</x:v>
      </x:c>
      <x:c r="H648" s="17" t="str">
        <x:v>Pago</x:v>
      </x:c>
      <x:c r="I648" s="21" t="n">
        <x:v>620.59</x:v>
      </x:c>
    </x:row>
    <x:row r="649" ht="15" hidden="0" customHeight="1">
      <x:c r="A649" s="17" t="n">
        <x:v>649</x:v>
      </x:c>
      <x:c r="B649" s="17" t="str">
        <x:v>OP-1128</x:v>
      </x:c>
      <x:c r="C649" s="17" t="str">
        <x:v>OS-5234</x:v>
      </x:c>
      <x:c r="D649" s="17" t="str">
        <x:v>2026-05-15 06:15:00</x:v>
      </x:c>
      <x:c r="E649" s="17" t="str">
        <x:v>Boeing</x:v>
      </x:c>
      <x:c r="F649" s="17" t="str">
        <x:v>Ronaldo Rogeri - +55 12 99700-4607</x:v>
      </x:c>
      <x:c r="G649" s="17" t="str">
        <x:v>Concluído</x:v>
      </x:c>
      <x:c r="H649" s="17" t="str">
        <x:v>Pago</x:v>
      </x:c>
      <x:c r="I649" s="21" t="n">
        <x:v>463.05</x:v>
      </x:c>
    </x:row>
    <x:row r="650" ht="15" hidden="0" customHeight="1">
      <x:c r="A650" s="17" t="n">
        <x:v>650</x:v>
      </x:c>
      <x:c r="B650" s="17" t="str">
        <x:v>OP-1147</x:v>
      </x:c>
      <x:c r="C650" s="17" t="str">
        <x:v>OS-5245</x:v>
      </x:c>
      <x:c r="D650" s="17" t="str">
        <x:v>2026-05-15 06:20:00</x:v>
      </x:c>
      <x:c r="E650" s="17" t="str">
        <x:v>Kenvue</x:v>
      </x:c>
      <x:c r="F650" s="17" t="str">
        <x:v>Maria Sol Palacios - indeterminado</x:v>
      </x:c>
      <x:c r="G650" s="17" t="str">
        <x:v>Concluído</x:v>
      </x:c>
      <x:c r="H650" s="17" t="str">
        <x:v>Pago</x:v>
      </x:c>
      <x:c r="I650" s="21" t="n">
        <x:v>620.59</x:v>
      </x:c>
    </x:row>
    <x:row r="651" ht="24" hidden="0" customHeight="1">
      <x:c r="A651" s="17" t="n">
        <x:v>651</x:v>
      </x:c>
      <x:c r="B651" s="17" t="str">
        <x:v>OP-1189</x:v>
      </x:c>
      <x:c r="C651" s="17" t="str">
        <x:v>OS-4753</x:v>
      </x:c>
      <x:c r="D651" s="17" t="str">
        <x:v>2026-05-15 07:00:00</x:v>
      </x:c>
      <x:c r="E651" s="17" t="str">
        <x:v>Johnson&amp;Johnson</x:v>
      </x:c>
      <x:c r="F651" s="17" t="str">
        <x:v>Fernanda Dantas - 11 966931406;
Eduarda Souza - 11970213711</x:v>
      </x:c>
      <x:c r="G651" s="17" t="str">
        <x:v>Concluído</x:v>
      </x:c>
      <x:c r="H651" s="17" t="str">
        <x:v>Pago</x:v>
      </x:c>
      <x:c r="I651" s="21" t="n">
        <x:v>2945</x:v>
      </x:c>
    </x:row>
    <x:row r="652" ht="15" hidden="0" customHeight="1">
      <x:c r="A652" s="17" t="n">
        <x:v>652</x:v>
      </x:c>
      <x:c r="B652" s="17" t="str">
        <x:v>OP-1130</x:v>
      </x:c>
      <x:c r="C652" s="17" t="str">
        <x:v>OS-5050</x:v>
      </x:c>
      <x:c r="D652" s="17" t="str">
        <x:v>2026-05-15 07:30:00</x:v>
      </x:c>
      <x:c r="E652" s="17" t="str">
        <x:v>Johnson&amp;Johnson</x:v>
      </x:c>
      <x:c r="F652" s="17" t="str">
        <x:v>Regina Lucia Zamith - 12 98127 8254</x:v>
      </x:c>
      <x:c r="G652" s="17" t="str">
        <x:v>Concluído</x:v>
      </x:c>
      <x:c r="H652" s="17" t="str">
        <x:v>Pago</x:v>
      </x:c>
      <x:c r="I652" s="21" t="n">
        <x:v>670.49</x:v>
      </x:c>
    </x:row>
    <x:row r="653" ht="15" hidden="0" customHeight="1">
      <x:c r="A653" s="17" t="n">
        <x:v>653</x:v>
      </x:c>
      <x:c r="B653" s="17" t="str">
        <x:v>OP-1187</x:v>
      </x:c>
      <x:c r="C653" s="17" t="str">
        <x:v>OS-5252</x:v>
      </x:c>
      <x:c r="D653" s="17" t="str">
        <x:v>2026-05-15 08:30:00</x:v>
      </x:c>
      <x:c r="E653" s="17" t="str">
        <x:v>Johnson&amp;Johnson</x:v>
      </x:c>
      <x:c r="F653" s="17" t="str">
        <x:v>Alberto Cardoso - +55 12 99629-4747</x:v>
      </x:c>
      <x:c r="G653" s="17" t="str">
        <x:v>Concluído</x:v>
      </x:c>
      <x:c r="H653" s="17" t="str">
        <x:v>Pago</x:v>
      </x:c>
      <x:c r="I653" s="21" t="n">
        <x:v>139.58</x:v>
      </x:c>
    </x:row>
    <x:row r="654" ht="15" hidden="0" customHeight="1">
      <x:c r="A654" s="17" t="n">
        <x:v>654</x:v>
      </x:c>
      <x:c r="B654" s="17" t="str">
        <x:v>OP-1129</x:v>
      </x:c>
      <x:c r="C654" s="17" t="str">
        <x:v>OS-4321</x:v>
      </x:c>
      <x:c r="D654" s="17" t="str">
        <x:v>2026-05-15 09:00:00</x:v>
      </x:c>
      <x:c r="E654" s="17" t="str">
        <x:v>Boeing</x:v>
      </x:c>
      <x:c r="F654" s="17" t="str">
        <x:v>William G. Silva - 12 99683-4366</x:v>
      </x:c>
      <x:c r="G654" s="17" t="str">
        <x:v>Concluído</x:v>
      </x:c>
      <x:c r="H654" s="17" t="str">
        <x:v>Pago</x:v>
      </x:c>
      <x:c r="I654" s="21" t="n">
        <x:v>463.05</x:v>
      </x:c>
    </x:row>
    <x:row r="655" ht="15" hidden="0" customHeight="1">
      <x:c r="A655" s="17" t="n">
        <x:v>655</x:v>
      </x:c>
      <x:c r="B655" s="17" t="str">
        <x:v>OP-1211</x:v>
      </x:c>
      <x:c r="C655" s="17" t="str">
        <x:v>OS-5236</x:v>
      </x:c>
      <x:c r="D655" s="17" t="str">
        <x:v>2026-05-15 09:30:00</x:v>
      </x:c>
      <x:c r="E655" s="17" t="str">
        <x:v>Kenvue</x:v>
      </x:c>
      <x:c r="F655" s="17" t="str">
        <x:v>Adriana Lopes de Souza Silva - 12997236961</x:v>
      </x:c>
      <x:c r="G655" s="17" t="str">
        <x:v>Concluído</x:v>
      </x:c>
      <x:c r="H655" s="17" t="str">
        <x:v>Pago</x:v>
      </x:c>
      <x:c r="I655" s="21" t="n">
        <x:v>1503.3</x:v>
      </x:c>
    </x:row>
    <x:row r="656" ht="15" hidden="0" customHeight="1">
      <x:c r="A656" s="17" t="n">
        <x:v>656</x:v>
      </x:c>
      <x:c r="B656" s="17" t="str">
        <x:v>OP-1189</x:v>
      </x:c>
      <x:c r="C656" s="17" t="str">
        <x:v>OS-4757</x:v>
      </x:c>
      <x:c r="D656" s="17" t="str">
        <x:v>2026-05-15 11:55:00</x:v>
      </x:c>
      <x:c r="E656" s="17" t="str">
        <x:v>Johnson&amp;Johnson</x:v>
      </x:c>
      <x:c r="F656" s="17" t="str">
        <x:v>Lavínia Antonio de Souza - indeterminado</x:v>
      </x:c>
      <x:c r="G656" s="17" t="str">
        <x:v>Concluído</x:v>
      </x:c>
      <x:c r="H656" s="17" t="str">
        <x:v>Pago</x:v>
      </x:c>
      <x:c r="I656" s="21" t="n">
        <x:v>1176.63</x:v>
      </x:c>
    </x:row>
    <x:row r="657" ht="15" hidden="0" customHeight="1">
      <x:c r="A657" s="17" t="n">
        <x:v>657</x:v>
      </x:c>
      <x:c r="B657" s="17" t="str">
        <x:v>OP-1187</x:v>
      </x:c>
      <x:c r="C657" s="17" t="str">
        <x:v>OS-5253</x:v>
      </x:c>
      <x:c r="D657" s="17" t="str">
        <x:v>2026-05-15 13:30:00</x:v>
      </x:c>
      <x:c r="E657" s="17" t="str">
        <x:v>Johnson&amp;Johnson</x:v>
      </x:c>
      <x:c r="F657" s="17" t="str">
        <x:v>Alberto Cardoso - +55 12 99629-4747</x:v>
      </x:c>
      <x:c r="G657" s="17" t="str">
        <x:v>Concluído</x:v>
      </x:c>
      <x:c r="H657" s="17" t="str">
        <x:v>Pago</x:v>
      </x:c>
      <x:c r="I657" s="21" t="n">
        <x:v>139.58</x:v>
      </x:c>
    </x:row>
    <x:row r="658" ht="15" hidden="0" customHeight="1">
      <x:c r="A658" s="17" t="n">
        <x:v>658</x:v>
      </x:c>
      <x:c r="B658" s="17" t="str">
        <x:v>OP-1167</x:v>
      </x:c>
      <x:c r="C658" s="17" t="str">
        <x:v>OS-5178</x:v>
      </x:c>
      <x:c r="D658" s="17" t="str">
        <x:v>2026-05-15 15:30:00</x:v>
      </x:c>
      <x:c r="E658" s="17" t="str">
        <x:v>Johnson&amp;Johnson</x:v>
      </x:c>
      <x:c r="F658" s="17" t="str">
        <x:v>Cinthia Oliveira - +55 12 98179-1900</x:v>
      </x:c>
      <x:c r="G658" s="17" t="str">
        <x:v>Concluído</x:v>
      </x:c>
      <x:c r="H658" s="17" t="str">
        <x:v>Pago</x:v>
      </x:c>
      <x:c r="I658" s="21" t="n">
        <x:v>491.86</x:v>
      </x:c>
    </x:row>
    <x:row r="659" ht="15" hidden="0" customHeight="1">
      <x:c r="A659" s="17" t="n">
        <x:v>659</x:v>
      </x:c>
      <x:c r="B659" s="17" t="str">
        <x:v>OP-1187</x:v>
      </x:c>
      <x:c r="C659" s="17" t="str">
        <x:v>OS-5103</x:v>
      </x:c>
      <x:c r="D659" s="17" t="str">
        <x:v>2026-05-15 16:00:00</x:v>
      </x:c>
      <x:c r="E659" s="17" t="str">
        <x:v>Johnson&amp;Johnson</x:v>
      </x:c>
      <x:c r="F659" s="17" t="str">
        <x:v>Alberto Cardoso - +55 12 99629-4747</x:v>
      </x:c>
      <x:c r="G659" s="17" t="str">
        <x:v>Cancelado</x:v>
      </x:c>
      <x:c r="H659" s="17" t="str">
        <x:v>Pago</x:v>
      </x:c>
      <x:c r="I659" s="21" t="n">
        <x:v>0</x:v>
      </x:c>
    </x:row>
    <x:row r="660" ht="15" hidden="0" customHeight="1">
      <x:c r="A660" s="17" t="n">
        <x:v>660</x:v>
      </x:c>
      <x:c r="B660" s="17" t="str">
        <x:v>OP-1147</x:v>
      </x:c>
      <x:c r="C660" s="17" t="str">
        <x:v>OS-5292</x:v>
      </x:c>
      <x:c r="D660" s="17" t="str">
        <x:v>2026-05-15 18:30:00</x:v>
      </x:c>
      <x:c r="E660" s="17" t="str">
        <x:v>Kenvue</x:v>
      </x:c>
      <x:c r="F660" s="17" t="str">
        <x:v>Maria Luz Menendez - +55 11 98294-6457 (Salete Macedo)</x:v>
      </x:c>
      <x:c r="G660" s="17" t="str">
        <x:v>Concluído</x:v>
      </x:c>
      <x:c r="H660" s="17" t="str">
        <x:v>Pago</x:v>
      </x:c>
      <x:c r="I660" s="21" t="n">
        <x:v>696.48</x:v>
      </x:c>
    </x:row>
    <x:row r="661" ht="15" hidden="0" customHeight="1">
      <x:c r="A661" s="17" t="n">
        <x:v>661</x:v>
      </x:c>
      <x:c r="B661" s="17" t="str">
        <x:v>OP-1131</x:v>
      </x:c>
      <x:c r="C661" s="17" t="str">
        <x:v>OS-5273</x:v>
      </x:c>
      <x:c r="D661" s="17" t="str">
        <x:v>2026-05-15 19:00:00</x:v>
      </x:c>
      <x:c r="E661" s="17" t="str">
        <x:v>Johnson&amp;Johnson</x:v>
      </x:c>
      <x:c r="F661" s="17" t="str">
        <x:v>Renato Rodrigues Mendes da Silva Filho - ‪+55 81 99942‑8885‬</x:v>
      </x:c>
      <x:c r="G661" s="17" t="str">
        <x:v>Concluído</x:v>
      </x:c>
      <x:c r="H661" s="17" t="str">
        <x:v>Pago</x:v>
      </x:c>
      <x:c r="I661" s="21" t="n">
        <x:v>442.98</x:v>
      </x:c>
    </x:row>
    <x:row r="662" ht="15" hidden="0" customHeight="1">
      <x:c r="A662" s="17" t="n">
        <x:v>662</x:v>
      </x:c>
      <x:c r="B662" s="17" t="str">
        <x:v>OP-1174</x:v>
      </x:c>
      <x:c r="C662" s="17" t="str">
        <x:v>OS-5284</x:v>
      </x:c>
      <x:c r="D662" s="17" t="str">
        <x:v>2026-05-15 20:00:00</x:v>
      </x:c>
      <x:c r="E662" s="17" t="str">
        <x:v>Kenvue</x:v>
      </x:c>
      <x:c r="F662" s="17" t="str">
        <x:v>Jeison Souza - indeterminado</x:v>
      </x:c>
      <x:c r="G662" s="17" t="str">
        <x:v>Concluído</x:v>
      </x:c>
      <x:c r="H662" s="17" t="str">
        <x:v>Pago</x:v>
      </x:c>
      <x:c r="I662" s="21" t="n">
        <x:v>1490</x:v>
      </x:c>
    </x:row>
    <x:row r="663" ht="15" hidden="0" customHeight="1">
      <x:c r="A663" s="17" t="n">
        <x:v>663</x:v>
      </x:c>
      <x:c r="B663" s="17" t="str">
        <x:v>OP-1195</x:v>
      </x:c>
      <x:c r="C663" s="17" t="str">
        <x:v>OS-5300</x:v>
      </x:c>
      <x:c r="D663" s="17" t="str">
        <x:v>2026-05-15 22:00:00</x:v>
      </x:c>
      <x:c r="E663" s="17" t="str">
        <x:v>Johnson&amp;Johnson</x:v>
      </x:c>
      <x:c r="F663" s="17" t="str">
        <x:v>Jéssica Nery - 12</x:v>
      </x:c>
      <x:c r="G663" s="17" t="str">
        <x:v>Concluído</x:v>
      </x:c>
      <x:c r="H663" s="17" t="str">
        <x:v>Pago</x:v>
      </x:c>
      <x:c r="I663" s="21" t="n">
        <x:v>491.86</x:v>
      </x:c>
    </x:row>
    <x:row r="664" ht="15" hidden="0" customHeight="1">
      <x:c r="A664" s="17" t="n">
        <x:v>664</x:v>
      </x:c>
      <x:c r="B664" s="17" t="str">
        <x:v>OP-1146</x:v>
      </x:c>
      <x:c r="C664" s="17" t="str">
        <x:v>OS-4361</x:v>
      </x:c>
      <x:c r="D664" s="17" t="str">
        <x:v>2026-05-15 22:20:00</x:v>
      </x:c>
      <x:c r="E664" s="17" t="str">
        <x:v>Particular</x:v>
      </x:c>
      <x:c r="F664" s="17" t="str">
        <x:v>Arthur Carregã - +55 12 99152-0687</x:v>
      </x:c>
      <x:c r="G664" s="17" t="str">
        <x:v>Concluído</x:v>
      </x:c>
      <x:c r="H664" s="17" t="str">
        <x:v>Pago</x:v>
      </x:c>
      <x:c r="I664" s="21" t="n">
        <x:v>386</x:v>
      </x:c>
    </x:row>
    <x:row r="665" ht="15" hidden="0" customHeight="1">
      <x:c r="A665" s="17" t="n">
        <x:v>665</x:v>
      </x:c>
      <x:c r="B665" s="17" t="str">
        <x:v>OP-1147</x:v>
      </x:c>
      <x:c r="C665" s="17" t="str">
        <x:v>OS-5293</x:v>
      </x:c>
      <x:c r="D665" s="17" t="str">
        <x:v>2026-05-16 05:00:00</x:v>
      </x:c>
      <x:c r="E665" s="17" t="str">
        <x:v>Kenvue</x:v>
      </x:c>
      <x:c r="F665" s="17" t="str">
        <x:v>Maria Luz Menendez - +55 11 98294-6457 (Salete Macedo)</x:v>
      </x:c>
      <x:c r="G665" s="17" t="str">
        <x:v>Concluído</x:v>
      </x:c>
      <x:c r="H665" s="17" t="str">
        <x:v>Pago</x:v>
      </x:c>
      <x:c r="I665" s="21" t="n">
        <x:v>620.59</x:v>
      </x:c>
    </x:row>
    <x:row r="666" ht="15" hidden="0" customHeight="1">
      <x:c r="A666" s="17" t="n">
        <x:v>666</x:v>
      </x:c>
      <x:c r="B666" s="17" t="str">
        <x:v>OP-1139</x:v>
      </x:c>
      <x:c r="C666" s="17" t="str">
        <x:v>OS-5033</x:v>
      </x:c>
      <x:c r="D666" s="17" t="str">
        <x:v>2026-05-16 05:40:00</x:v>
      </x:c>
      <x:c r="E666" s="17" t="str">
        <x:v>Johnson&amp;Johnson</x:v>
      </x:c>
      <x:c r="F666" s="17" t="str">
        <x:v>Vitor Marcondes - 012 99116-2643</x:v>
      </x:c>
      <x:c r="G666" s="17" t="str">
        <x:v>Concluído</x:v>
      </x:c>
      <x:c r="H666" s="17" t="str">
        <x:v>Pago</x:v>
      </x:c>
      <x:c r="I666" s="21" t="n">
        <x:v>509.98</x:v>
      </x:c>
    </x:row>
    <x:row r="667" ht="15" hidden="0" customHeight="1">
      <x:c r="A667" s="17" t="n">
        <x:v>667</x:v>
      </x:c>
      <x:c r="B667" s="17" t="str">
        <x:v>OP-1172</x:v>
      </x:c>
      <x:c r="C667" s="17" t="str">
        <x:v>OS-5006</x:v>
      </x:c>
      <x:c r="D667" s="17" t="str">
        <x:v>2026-05-16 05:40:00</x:v>
      </x:c>
      <x:c r="E667" s="17" t="str">
        <x:v>Kenvue</x:v>
      </x:c>
      <x:c r="F667" s="17" t="str">
        <x:v>Ana Lemke Salvador - +5512982206413</x:v>
      </x:c>
      <x:c r="G667" s="17" t="str">
        <x:v>Concluído</x:v>
      </x:c>
      <x:c r="H667" s="17" t="str">
        <x:v>Pago</x:v>
      </x:c>
      <x:c r="I667" s="21" t="n">
        <x:v>496.35</x:v>
      </x:c>
    </x:row>
    <x:row r="668" ht="15" hidden="0" customHeight="1">
      <x:c r="A668" s="17" t="n">
        <x:v>668</x:v>
      </x:c>
      <x:c r="B668" s="17" t="str">
        <x:v>OP-1142</x:v>
      </x:c>
      <x:c r="C668" s="17" t="str">
        <x:v>OS-5247</x:v>
      </x:c>
      <x:c r="D668" s="17" t="str">
        <x:v>2026-05-16 07:30:00</x:v>
      </x:c>
      <x:c r="E668" s="17" t="str">
        <x:v>Johnson&amp;Johnson</x:v>
      </x:c>
      <x:c r="F668" s="17" t="str">
        <x:v>Roneide Oliveira - +55 12 98190-2010</x:v>
      </x:c>
      <x:c r="G668" s="17" t="str">
        <x:v>Concluído</x:v>
      </x:c>
      <x:c r="H668" s="17" t="str">
        <x:v>Pago</x:v>
      </x:c>
      <x:c r="I668" s="21" t="n">
        <x:v>670.49</x:v>
      </x:c>
    </x:row>
    <x:row r="669" ht="15" hidden="0" customHeight="1">
      <x:c r="A669" s="17" t="n">
        <x:v>669</x:v>
      </x:c>
      <x:c r="B669" s="17" t="str">
        <x:v>OP-1141</x:v>
      </x:c>
      <x:c r="C669" s="17" t="str">
        <x:v>9416</x:v>
      </x:c>
      <x:c r="D669" s="17" t="str">
        <x:v>2026-05-16 09:00:00</x:v>
      </x:c>
      <x:c r="E669" s="17" t="str">
        <x:v>Johnson&amp;Johnson</x:v>
      </x:c>
      <x:c r="F669" s="17" t="str">
        <x:v>Paula Medici  - +55 12 98195-0491</x:v>
      </x:c>
      <x:c r="G669" s="17" t="str">
        <x:v>Concluído</x:v>
      </x:c>
      <x:c r="H669" s="17" t="str">
        <x:v>Pago</x:v>
      </x:c>
      <x:c r="I669" s="21" t="n">
        <x:v>558.86</x:v>
      </x:c>
    </x:row>
    <x:row r="670" ht="15" hidden="0" customHeight="1">
      <x:c r="A670" s="17" t="n">
        <x:v>670</x:v>
      </x:c>
      <x:c r="B670" s="17" t="str">
        <x:v>OP-1184</x:v>
      </x:c>
      <x:c r="C670" s="17" t="str">
        <x:v>OS-4666</x:v>
      </x:c>
      <x:c r="D670" s="17" t="str">
        <x:v>2026-05-16 13:00:00</x:v>
      </x:c>
      <x:c r="E670" s="17" t="str">
        <x:v>Johnson&amp;Johnson</x:v>
      </x:c>
      <x:c r="F670" s="17" t="str">
        <x:v>Aline Galdieri - +551299165-5286</x:v>
      </x:c>
      <x:c r="G670" s="17" t="str">
        <x:v>Concluído</x:v>
      </x:c>
      <x:c r="H670" s="17" t="str">
        <x:v>Pago</x:v>
      </x:c>
      <x:c r="I670" s="21" t="n">
        <x:v>442.98</x:v>
      </x:c>
    </x:row>
    <x:row r="671" ht="15" hidden="0" customHeight="1">
      <x:c r="A671" s="17" t="n">
        <x:v>671</x:v>
      </x:c>
      <x:c r="B671" s="17" t="str">
        <x:v>OP-1187</x:v>
      </x:c>
      <x:c r="C671" s="17" t="str">
        <x:v>OS-5104</x:v>
      </x:c>
      <x:c r="D671" s="17" t="str">
        <x:v>2026-05-16 16:00:00</x:v>
      </x:c>
      <x:c r="E671" s="17" t="str">
        <x:v>Johnson&amp;Johnson</x:v>
      </x:c>
      <x:c r="F671" s="17" t="str">
        <x:v>Alberto Cardoso - +55 12 99629-4747</x:v>
      </x:c>
      <x:c r="G671" s="17" t="str">
        <x:v>Cancelado</x:v>
      </x:c>
      <x:c r="H671" s="17" t="str">
        <x:v>Pago</x:v>
      </x:c>
      <x:c r="I671" s="21" t="n">
        <x:v>0</x:v>
      </x:c>
    </x:row>
    <x:row r="672" ht="15" hidden="0" customHeight="1">
      <x:c r="A672" s="17" t="n">
        <x:v>672</x:v>
      </x:c>
      <x:c r="B672" s="17" t="str">
        <x:v>OP-1325</x:v>
      </x:c>
      <x:c r="C672" s="17" t="str">
        <x:v>OS-5282</x:v>
      </x:c>
      <x:c r="D672" s="17" t="str">
        <x:v>2026-05-16 16:30:00</x:v>
      </x:c>
      <x:c r="E672" s="17" t="str">
        <x:v>Boeing</x:v>
      </x:c>
      <x:c r="F672" s="17" t="str">
        <x:v>Barbara Marcucci Sansonio - (47) 99149-9185 </x:v>
      </x:c>
      <x:c r="G672" s="17" t="str">
        <x:v>Concluído</x:v>
      </x:c>
      <x:c r="H672" s="17" t="str">
        <x:v>Pago</x:v>
      </x:c>
      <x:c r="I672" s="21" t="n">
        <x:v>396.05</x:v>
      </x:c>
    </x:row>
    <x:row r="673" ht="15" hidden="0" customHeight="1">
      <x:c r="A673" s="17" t="n">
        <x:v>673</x:v>
      </x:c>
      <x:c r="B673" s="17" t="str">
        <x:v>OP-1165</x:v>
      </x:c>
      <x:c r="C673" s="17" t="str">
        <x:v>OS-5228</x:v>
      </x:c>
      <x:c r="D673" s="17" t="str">
        <x:v>2026-05-16 17:50:00</x:v>
      </x:c>
      <x:c r="E673" s="17" t="str">
        <x:v>Johnson&amp;Johnson</x:v>
      </x:c>
      <x:c r="F673" s="17" t="str">
        <x:v>Thais Figueiredo - +55 12 98867-4932</x:v>
      </x:c>
      <x:c r="G673" s="17" t="str">
        <x:v>Concluído</x:v>
      </x:c>
      <x:c r="H673" s="17" t="str">
        <x:v>Pago</x:v>
      </x:c>
      <x:c r="I673" s="21" t="n">
        <x:v>442.98</x:v>
      </x:c>
    </x:row>
    <x:row r="674" ht="24" hidden="0" customHeight="1">
      <x:c r="A674" s="17" t="n">
        <x:v>674</x:v>
      </x:c>
      <x:c r="B674" s="17" t="str">
        <x:v>OP-1153</x:v>
      </x:c>
      <x:c r="C674" s="17" t="str">
        <x:v>OS-4387</x:v>
      </x:c>
      <x:c r="D674" s="17" t="str">
        <x:v>2026-05-16 18:40:00</x:v>
      </x:c>
      <x:c r="E674" s="17" t="str">
        <x:v>Boeing</x:v>
      </x:c>
      <x:c r="F674" s="17" t="str">
        <x:v>Julio Cesar Parquet Bizarria  - (12) 98282 0106;
Evandro Fernandes Ledema - (65) 99234-8705</x:v>
      </x:c>
      <x:c r="G674" s="17" t="str">
        <x:v>Concluído</x:v>
      </x:c>
      <x:c r="H674" s="17" t="str">
        <x:v>Pago</x:v>
      </x:c>
      <x:c r="I674" s="21" t="n">
        <x:v>613.05</x:v>
      </x:c>
    </x:row>
    <x:row r="675" ht="24" hidden="0" customHeight="1">
      <x:c r="A675" s="17" t="n">
        <x:v>675</x:v>
      </x:c>
      <x:c r="B675" s="17" t="str">
        <x:v>OP-1144</x:v>
      </x:c>
      <x:c r="C675" s="17" t="str">
        <x:v>OS-5301</x:v>
      </x:c>
      <x:c r="D675" s="17" t="str">
        <x:v>2026-05-17 05:40:00</x:v>
      </x:c>
      <x:c r="E675" s="17" t="str">
        <x:v>Boeing</x:v>
      </x:c>
      <x:c r="F675" s="17" t="str">
        <x:v>Lucas Rafael Leandro Silva - +55 12 99755-8713;
Rene Costa Araújo - indeterminado</x:v>
      </x:c>
      <x:c r="G675" s="17" t="str">
        <x:v>Concluído</x:v>
      </x:c>
      <x:c r="H675" s="17" t="str">
        <x:v>Pago</x:v>
      </x:c>
      <x:c r="I675" s="21" t="n">
        <x:v>512.97</x:v>
      </x:c>
    </x:row>
    <x:row r="676" ht="15" hidden="0" customHeight="1">
      <x:c r="A676" s="17" t="n">
        <x:v>676</x:v>
      </x:c>
      <x:c r="B676" s="17" t="str">
        <x:v>OP-1187</x:v>
      </x:c>
      <x:c r="C676" s="17" t="str">
        <x:v>OS-5105</x:v>
      </x:c>
      <x:c r="D676" s="17" t="str">
        <x:v>2026-05-17 16:00:00</x:v>
      </x:c>
      <x:c r="E676" s="17" t="str">
        <x:v>Johnson&amp;Johnson</x:v>
      </x:c>
      <x:c r="F676" s="17" t="str">
        <x:v>Alberto Cardoso - +55 12 99629-4747</x:v>
      </x:c>
      <x:c r="G676" s="17" t="str">
        <x:v>Cancelado</x:v>
      </x:c>
      <x:c r="H676" s="17" t="str">
        <x:v>Pago</x:v>
      </x:c>
      <x:c r="I676" s="21" t="n">
        <x:v>0</x:v>
      </x:c>
    </x:row>
    <x:row r="677" ht="24" hidden="0" customHeight="1">
      <x:c r="A677" s="17" t="n">
        <x:v>677</x:v>
      </x:c>
      <x:c r="B677" s="17" t="str">
        <x:v>OP-1137</x:v>
      </x:c>
      <x:c r="C677" s="17" t="str">
        <x:v>OS-5180</x:v>
      </x:c>
      <x:c r="D677" s="17" t="str">
        <x:v>2026-05-17 16:30:00</x:v>
      </x:c>
      <x:c r="E677" s="17" t="str">
        <x:v>Cenofisco Centro de Capacitação Profissional LTDA</x:v>
      </x:c>
      <x:c r="F677" s="17" t="str">
        <x:v>Terezinha Massambani - 41 9996-2221;
Edite Nunes - 41 9996-2221</x:v>
      </x:c>
      <x:c r="G677" s="17" t="str">
        <x:v>Concluído</x:v>
      </x:c>
      <x:c r="H677" s="17" t="str">
        <x:v>Pago</x:v>
      </x:c>
      <x:c r="I677" s="21" t="n">
        <x:v>581</x:v>
      </x:c>
    </x:row>
    <x:row r="678" ht="15" hidden="0" customHeight="1">
      <x:c r="A678" s="17" t="n">
        <x:v>678</x:v>
      </x:c>
      <x:c r="B678" s="17" t="str">
        <x:v>OP-1233</x:v>
      </x:c>
      <x:c r="C678" s="17" t="str">
        <x:v>OS-5322</x:v>
      </x:c>
      <x:c r="D678" s="17" t="str">
        <x:v>2026-05-17 16:40:00</x:v>
      </x:c>
      <x:c r="E678" s="17" t="str">
        <x:v>Johnson&amp;Johnson</x:v>
      </x:c>
      <x:c r="F678" s="17" t="str">
        <x:v>Luciano de Paula - +55 12 99168-4442</x:v>
      </x:c>
      <x:c r="G678" s="17" t="str">
        <x:v>Concluído</x:v>
      </x:c>
      <x:c r="H678" s="17" t="str">
        <x:v>Pago</x:v>
      </x:c>
      <x:c r="I678" s="21" t="n">
        <x:v>442.98</x:v>
      </x:c>
    </x:row>
    <x:row r="679" ht="24" hidden="0" customHeight="1">
      <x:c r="A679" s="17" t="n">
        <x:v>679</x:v>
      </x:c>
      <x:c r="B679" s="17" t="str">
        <x:v>OP-1143</x:v>
      </x:c>
      <x:c r="C679" s="17" t="str">
        <x:v>OS-5224</x:v>
      </x:c>
      <x:c r="D679" s="17" t="str">
        <x:v>2026-05-17 17:45:00</x:v>
      </x:c>
      <x:c r="E679" s="17" t="str">
        <x:v>Particular</x:v>
      </x:c>
      <x:c r="F679" s="17" t="str">
        <x:v>Mrs. Marina Ausonio - indeterminado;
Mr. Mirko Zisa - indeterminado</x:v>
      </x:c>
      <x:c r="G679" s="17" t="str">
        <x:v>Concluído</x:v>
      </x:c>
      <x:c r="H679" s="17" t="str">
        <x:v>Pago</x:v>
      </x:c>
      <x:c r="I679" s="21" t="n">
        <x:v>615.33</x:v>
      </x:c>
    </x:row>
    <x:row r="680" ht="15" hidden="0" customHeight="1">
      <x:c r="A680" s="17" t="n">
        <x:v>680</x:v>
      </x:c>
      <x:c r="B680" s="17" t="str">
        <x:v>OP-1176</x:v>
      </x:c>
      <x:c r="C680" s="17" t="str">
        <x:v>OS-5324</x:v>
      </x:c>
      <x:c r="D680" s="17" t="str">
        <x:v>2026-05-18 02:00:00</x:v>
      </x:c>
      <x:c r="E680" s="17" t="str">
        <x:v>Particular</x:v>
      </x:c>
      <x:c r="F680" s="17" t="str">
        <x:v>Mariana de Souza Bittencourt de Carvalho  - 12 99758-2917</x:v>
      </x:c>
      <x:c r="G680" s="17" t="str">
        <x:v>Concluído</x:v>
      </x:c>
      <x:c r="H680" s="17" t="str">
        <x:v>Pago</x:v>
      </x:c>
      <x:c r="I680" s="21" t="n">
        <x:v>726.06</x:v>
      </x:c>
    </x:row>
    <x:row r="681" ht="15" hidden="0" customHeight="1">
      <x:c r="A681" s="17" t="n">
        <x:v>681</x:v>
      </x:c>
      <x:c r="B681" s="17" t="str">
        <x:v>OP-1174</x:v>
      </x:c>
      <x:c r="C681" s="17" t="str">
        <x:v>OS-5328</x:v>
      </x:c>
      <x:c r="D681" s="17" t="str">
        <x:v>2026-05-18 06:00:00</x:v>
      </x:c>
      <x:c r="E681" s="17" t="str">
        <x:v>Kenvue</x:v>
      </x:c>
      <x:c r="F681" s="17" t="str">
        <x:v>Jeison Souza - indeterminado</x:v>
      </x:c>
      <x:c r="G681" s="17" t="str">
        <x:v>Concluído</x:v>
      </x:c>
      <x:c r="H681" s="17" t="str">
        <x:v>Pago</x:v>
      </x:c>
      <x:c r="I681" s="21" t="n">
        <x:v>2590</x:v>
      </x:c>
    </x:row>
    <x:row r="682" ht="24" hidden="0" customHeight="1">
      <x:c r="A682" s="17" t="n">
        <x:v>682</x:v>
      </x:c>
      <x:c r="B682" s="17" t="str">
        <x:v>OP-1154</x:v>
      </x:c>
      <x:c r="C682" s="17" t="str">
        <x:v>OS-5139</x:v>
      </x:c>
      <x:c r="D682" s="17" t="str">
        <x:v>2026-05-18 06:00:00</x:v>
      </x:c>
      <x:c r="E682" s="17" t="str">
        <x:v>Johnson&amp;Johnson</x:v>
      </x:c>
      <x:c r="F682" s="17" t="str">
        <x:v>Victor Justino - indeterminado;
Rafaelle Silva - +55 12 99240 2041</x:v>
      </x:c>
      <x:c r="G682" s="17" t="str">
        <x:v>Concluído</x:v>
      </x:c>
      <x:c r="H682" s="17" t="str">
        <x:v>Pago</x:v>
      </x:c>
      <x:c r="I682" s="21" t="n">
        <x:v>1109.29</x:v>
      </x:c>
    </x:row>
    <x:row r="683" ht="15" hidden="0" customHeight="1">
      <x:c r="A683" s="17" t="n">
        <x:v>683</x:v>
      </x:c>
      <x:c r="B683" s="17" t="str">
        <x:v>OP-1149</x:v>
      </x:c>
      <x:c r="C683" s="17" t="str">
        <x:v>OS-5326</x:v>
      </x:c>
      <x:c r="D683" s="17" t="str">
        <x:v>2026-05-18 06:30:00</x:v>
      </x:c>
      <x:c r="E683" s="17" t="str">
        <x:v>Ball Corporation</x:v>
      </x:c>
      <x:c r="F683" s="17" t="str">
        <x:v>Scott Vail - Falar com a Julia Cordeiro (+55 12 99763-5779)</x:v>
      </x:c>
      <x:c r="G683" s="17" t="str">
        <x:v>Concluído</x:v>
      </x:c>
      <x:c r="H683" s="17" t="str">
        <x:v>Pago</x:v>
      </x:c>
      <x:c r="I683" s="21" t="n">
        <x:v>1590</x:v>
      </x:c>
    </x:row>
    <x:row r="684" ht="15" hidden="0" customHeight="1">
      <x:c r="A684" s="17" t="n">
        <x:v>684</x:v>
      </x:c>
      <x:c r="B684" s="17" t="str">
        <x:v>OP-1221</x:v>
      </x:c>
      <x:c r="C684" s="17" t="str">
        <x:v>OS-5129</x:v>
      </x:c>
      <x:c r="D684" s="17" t="str">
        <x:v>2026-05-18 07:00:00</x:v>
      </x:c>
      <x:c r="E684" s="17" t="str">
        <x:v>Eldorado do Brasil</x:v>
      </x:c>
      <x:c r="F684" s="17" t="str">
        <x:v>Carlos Roberto Paiva Monteiro - (12) 9 9713-2722</x:v>
      </x:c>
      <x:c r="G684" s="17" t="str">
        <x:v>Concluído</x:v>
      </x:c>
      <x:c r="H684" s="17" t="str">
        <x:v>Pago</x:v>
      </x:c>
      <x:c r="I684" s="21" t="n">
        <x:v>649.95</x:v>
      </x:c>
    </x:row>
    <x:row r="685" ht="15" hidden="0" customHeight="1">
      <x:c r="A685" s="17" t="n">
        <x:v>685</x:v>
      </x:c>
      <x:c r="B685" s="17" t="str">
        <x:v>OP-1187</x:v>
      </x:c>
      <x:c r="C685" s="17" t="str">
        <x:v>OS-5329</x:v>
      </x:c>
      <x:c r="D685" s="17" t="str">
        <x:v>2026-05-18 08:30:00</x:v>
      </x:c>
      <x:c r="E685" s="17" t="str">
        <x:v>Johnson&amp;Johnson</x:v>
      </x:c>
      <x:c r="F685" s="17" t="str">
        <x:v>Alberto Cardoso - +55 12 99629-4747</x:v>
      </x:c>
      <x:c r="G685" s="17" t="str">
        <x:v>Concluído</x:v>
      </x:c>
      <x:c r="H685" s="17" t="str">
        <x:v>Pago</x:v>
      </x:c>
      <x:c r="I685" s="21" t="n">
        <x:v>139.58</x:v>
      </x:c>
    </x:row>
    <x:row r="686" ht="15" hidden="0" customHeight="1">
      <x:c r="A686" s="17" t="n">
        <x:v>686</x:v>
      </x:c>
      <x:c r="B686" s="17" t="str">
        <x:v>OP-1227</x:v>
      </x:c>
      <x:c r="C686" s="17" t="str">
        <x:v>OS-5332</x:v>
      </x:c>
      <x:c r="D686" s="17" t="str">
        <x:v>2026-05-18 08:40:00</x:v>
      </x:c>
      <x:c r="E686" s="17" t="str">
        <x:v>Johnson&amp;Johnson</x:v>
      </x:c>
      <x:c r="F686" s="17" t="str">
        <x:v>Leandro Amorim - 35 99877 6768</x:v>
      </x:c>
      <x:c r="G686" s="17" t="str">
        <x:v>Concluído</x:v>
      </x:c>
      <x:c r="H686" s="17" t="str">
        <x:v>Pago</x:v>
      </x:c>
      <x:c r="I686" s="21" t="n">
        <x:v>959.89</x:v>
      </x:c>
    </x:row>
    <x:row r="687" ht="15" hidden="0" customHeight="1">
      <x:c r="A687" s="17" t="n">
        <x:v>687</x:v>
      </x:c>
      <x:c r="B687" s="17" t="str">
        <x:v>OP-1152</x:v>
      </x:c>
      <x:c r="C687" s="17" t="str">
        <x:v>OS-5152</x:v>
      </x:c>
      <x:c r="D687" s="17" t="str">
        <x:v>2026-05-18 09:00:00</x:v>
      </x:c>
      <x:c r="E687" s="17" t="str">
        <x:v>Johnson&amp;Johnson</x:v>
      </x:c>
      <x:c r="F687" s="17" t="str">
        <x:v>Fernanda Runha - +55 12 98122-8335</x:v>
      </x:c>
      <x:c r="G687" s="17" t="str">
        <x:v>Concluído</x:v>
      </x:c>
      <x:c r="H687" s="17" t="str">
        <x:v>Pago</x:v>
      </x:c>
      <x:c r="I687" s="21" t="n">
        <x:v>1011.53</x:v>
      </x:c>
    </x:row>
    <x:row r="688" ht="24" hidden="0" customHeight="1">
      <x:c r="A688" s="17" t="n">
        <x:v>688</x:v>
      </x:c>
      <x:c r="B688" s="17" t="str">
        <x:v>OP-1143</x:v>
      </x:c>
      <x:c r="C688" s="17" t="str">
        <x:v>OS-5225</x:v>
      </x:c>
      <x:c r="D688" s="17" t="str">
        <x:v>2026-05-18 11:45:00</x:v>
      </x:c>
      <x:c r="E688" s="17" t="str">
        <x:v>Particular</x:v>
      </x:c>
      <x:c r="F688" s="17" t="str">
        <x:v>Mrs. Marina Ausonio - indeterminado;
Mr. Mirko Zisa - indeterminado</x:v>
      </x:c>
      <x:c r="G688" s="17" t="str">
        <x:v>Concluído</x:v>
      </x:c>
      <x:c r="H688" s="17" t="str">
        <x:v>Pago</x:v>
      </x:c>
      <x:c r="I688" s="21" t="n">
        <x:v>548.33</x:v>
      </x:c>
    </x:row>
    <x:row r="689" ht="15" hidden="0" customHeight="1">
      <x:c r="A689" s="17" t="n">
        <x:v>689</x:v>
      </x:c>
      <x:c r="B689" s="17" t="str">
        <x:v>OP-1260</x:v>
      </x:c>
      <x:c r="C689" s="17" t="str">
        <x:v>OS-5337</x:v>
      </x:c>
      <x:c r="D689" s="17" t="str">
        <x:v>2026-05-18 11:55:00</x:v>
      </x:c>
      <x:c r="E689" s="17" t="str">
        <x:v>Latasa Recicla BR</x:v>
      </x:c>
      <x:c r="F689" s="17" t="str">
        <x:v>ANA BEATRIZ APARECIDA DA SILVA - 12 99158-5787</x:v>
      </x:c>
      <x:c r="G689" s="17" t="str">
        <x:v>Concluído</x:v>
      </x:c>
      <x:c r="H689" s="17" t="str">
        <x:v>Composição Realizada</x:v>
      </x:c>
      <x:c r="I689" s="21" t="n">
        <x:v>85</x:v>
      </x:c>
    </x:row>
    <x:row r="690" ht="15" hidden="0" customHeight="1">
      <x:c r="A690" s="17" t="n">
        <x:v>690</x:v>
      </x:c>
      <x:c r="B690" s="17" t="str">
        <x:v>OP-1260</x:v>
      </x:c>
      <x:c r="C690" s="17" t="str">
        <x:v>OS-5347</x:v>
      </x:c>
      <x:c r="D690" s="17" t="str">
        <x:v>2026-05-18 12:30:00</x:v>
      </x:c>
      <x:c r="E690" s="17" t="str">
        <x:v>Latasa Recicla BR</x:v>
      </x:c>
      <x:c r="F690" s="17" t="str">
        <x:v>DAVID DOS SANTOS DE OLIVEIRA - indeterminado</x:v>
      </x:c>
      <x:c r="G690" s="17" t="str">
        <x:v>Concluído</x:v>
      </x:c>
      <x:c r="H690" s="17" t="str">
        <x:v>Composição Realizada</x:v>
      </x:c>
      <x:c r="I690" s="21" t="n">
        <x:v>85</x:v>
      </x:c>
    </x:row>
    <x:row r="691" ht="15" hidden="0" customHeight="1">
      <x:c r="A691" s="17" t="n">
        <x:v>691</x:v>
      </x:c>
      <x:c r="B691" s="17" t="str">
        <x:v>OP-1260</x:v>
      </x:c>
      <x:c r="C691" s="17" t="str">
        <x:v>OS-5251</x:v>
      </x:c>
      <x:c r="D691" s="17" t="str">
        <x:v>2026-05-18 13:50:00</x:v>
      </x:c>
      <x:c r="E691" s="17" t="str">
        <x:v>Latasa Recicla BR</x:v>
      </x:c>
      <x:c r="F691" s="17" t="str">
        <x:v>Tiago Henrique Santos Xavier - (12) 99142-8629</x:v>
      </x:c>
      <x:c r="G691" s="17" t="str">
        <x:v>Concluído</x:v>
      </x:c>
      <x:c r="H691" s="17" t="str">
        <x:v>Composição Realizada</x:v>
      </x:c>
      <x:c r="I691" s="21" t="n">
        <x:v>85</x:v>
      </x:c>
    </x:row>
    <x:row r="692" ht="15" hidden="0" customHeight="1">
      <x:c r="A692" s="17" t="n">
        <x:v>692</x:v>
      </x:c>
      <x:c r="B692" s="17" t="str">
        <x:v>OP-1187</x:v>
      </x:c>
      <x:c r="C692" s="17" t="str">
        <x:v>OS-5338</x:v>
      </x:c>
      <x:c r="D692" s="17" t="str">
        <x:v>2026-05-18 15:30:00</x:v>
      </x:c>
      <x:c r="E692" s="17" t="str">
        <x:v>Johnson&amp;Johnson</x:v>
      </x:c>
      <x:c r="F692" s="17" t="str">
        <x:v>Alberto Cardoso - +55 12 99629-4747</x:v>
      </x:c>
      <x:c r="G692" s="17" t="str">
        <x:v>Concluído</x:v>
      </x:c>
      <x:c r="H692" s="17" t="str">
        <x:v>Pago</x:v>
      </x:c>
      <x:c r="I692" s="21" t="n">
        <x:v>139.58</x:v>
      </x:c>
    </x:row>
    <x:row r="693" ht="15" hidden="0" customHeight="1">
      <x:c r="A693" s="17" t="n">
        <x:v>693</x:v>
      </x:c>
      <x:c r="B693" s="17" t="str">
        <x:v>OP-1160</x:v>
      </x:c>
      <x:c r="C693" s="17" t="str">
        <x:v>OS-4905</x:v>
      </x:c>
      <x:c r="D693" s="17" t="str">
        <x:v>2026-05-18 18:30:00</x:v>
      </x:c>
      <x:c r="E693" s="17" t="str">
        <x:v>Kenvue</x:v>
      </x:c>
      <x:c r="F693" s="17" t="str">
        <x:v>Anthony Angelosante - +1 908-240-5071</x:v>
      </x:c>
      <x:c r="G693" s="17" t="str">
        <x:v>Concluído</x:v>
      </x:c>
      <x:c r="H693" s="17" t="str">
        <x:v>Pago</x:v>
      </x:c>
      <x:c r="I693" s="21" t="n">
        <x:v>496.35</x:v>
      </x:c>
    </x:row>
    <x:row r="694" ht="15" hidden="0" customHeight="1">
      <x:c r="A694" s="17" t="n">
        <x:v>694</x:v>
      </x:c>
      <x:c r="B694" s="17" t="str">
        <x:v>OP-1174</x:v>
      </x:c>
      <x:c r="C694" s="17" t="str">
        <x:v>OS-5363</x:v>
      </x:c>
      <x:c r="D694" s="17" t="str">
        <x:v>2026-05-19 06:00:00</x:v>
      </x:c>
      <x:c r="E694" s="17" t="str">
        <x:v>Kenvue</x:v>
      </x:c>
      <x:c r="F694" s="17" t="str">
        <x:v>Jeison Souza - indeterminado</x:v>
      </x:c>
      <x:c r="G694" s="17" t="str">
        <x:v>Concluído</x:v>
      </x:c>
      <x:c r="H694" s="17" t="str">
        <x:v>Pago</x:v>
      </x:c>
      <x:c r="I694" s="21" t="n">
        <x:v>2590</x:v>
      </x:c>
    </x:row>
    <x:row r="695" ht="15" hidden="0" customHeight="1">
      <x:c r="A695" s="17" t="n">
        <x:v>695</x:v>
      </x:c>
      <x:c r="B695" s="17" t="str">
        <x:v>OP-1161</x:v>
      </x:c>
      <x:c r="C695" s="17" t="str">
        <x:v>OS-5398</x:v>
      </x:c>
      <x:c r="D695" s="17" t="str">
        <x:v>2026-05-19 06:30:00</x:v>
      </x:c>
      <x:c r="E695" s="17" t="str">
        <x:v>Particular</x:v>
      </x:c>
      <x:c r="F695" s="17" t="str">
        <x:v>Giuliana Pessoa - +55 12 98118-1114</x:v>
      </x:c>
      <x:c r="G695" s="17" t="str">
        <x:v>Concluído</x:v>
      </x:c>
      <x:c r="H695" s="17" t="str">
        <x:v>Pago</x:v>
      </x:c>
      <x:c r="I695" s="21" t="n">
        <x:v>620.49</x:v>
      </x:c>
    </x:row>
    <x:row r="696" ht="15" hidden="0" customHeight="1">
      <x:c r="A696" s="17" t="n">
        <x:v>696</x:v>
      </x:c>
      <x:c r="B696" s="17" t="str">
        <x:v>OP-1187</x:v>
      </x:c>
      <x:c r="C696" s="17" t="str">
        <x:v>OS-5345</x:v>
      </x:c>
      <x:c r="D696" s="17" t="str">
        <x:v>2026-05-19 08:30:00</x:v>
      </x:c>
      <x:c r="E696" s="17" t="str">
        <x:v>Johnson&amp;Johnson</x:v>
      </x:c>
      <x:c r="F696" s="17" t="str">
        <x:v>Alberto Cardoso - +55 12 99629-4747</x:v>
      </x:c>
      <x:c r="G696" s="17" t="str">
        <x:v>Concluído</x:v>
      </x:c>
      <x:c r="H696" s="17" t="str">
        <x:v>Pago</x:v>
      </x:c>
      <x:c r="I696" s="21" t="n">
        <x:v>139.58</x:v>
      </x:c>
    </x:row>
    <x:row r="697" ht="15" hidden="0" customHeight="1">
      <x:c r="A697" s="17" t="n">
        <x:v>697</x:v>
      </x:c>
      <x:c r="B697" s="17" t="str">
        <x:v>OP-1187</x:v>
      </x:c>
      <x:c r="C697" s="17" t="str">
        <x:v>OS-5106</x:v>
      </x:c>
      <x:c r="D697" s="17" t="str">
        <x:v>2026-05-19 15:15:00</x:v>
      </x:c>
      <x:c r="E697" s="17" t="str">
        <x:v>Johnson&amp;Johnson</x:v>
      </x:c>
      <x:c r="F697" s="17" t="str">
        <x:v>Alberto Cardoso - +55 12 99629-4747</x:v>
      </x:c>
      <x:c r="G697" s="17" t="str">
        <x:v>Concluído</x:v>
      </x:c>
      <x:c r="H697" s="17" t="str">
        <x:v>Pago</x:v>
      </x:c>
      <x:c r="I697" s="21" t="n">
        <x:v>139.58</x:v>
      </x:c>
    </x:row>
    <x:row r="698" ht="15" hidden="0" customHeight="1">
      <x:c r="A698" s="17" t="n">
        <x:v>698</x:v>
      </x:c>
      <x:c r="B698" s="17" t="str">
        <x:v>OP-1161</x:v>
      </x:c>
      <x:c r="C698" s="17" t="str">
        <x:v>OS-5399</x:v>
      </x:c>
      <x:c r="D698" s="17" t="str">
        <x:v>2026-05-19 16:00:00</x:v>
      </x:c>
      <x:c r="E698" s="17" t="str">
        <x:v>Particular</x:v>
      </x:c>
      <x:c r="F698" s="17" t="str">
        <x:v>Giuliana Pessoa - +55 12 98118-1114</x:v>
      </x:c>
      <x:c r="G698" s="17" t="str">
        <x:v>Concluído</x:v>
      </x:c>
      <x:c r="H698" s="17" t="str">
        <x:v>Pago</x:v>
      </x:c>
      <x:c r="I698" s="21" t="n">
        <x:v>620.49</x:v>
      </x:c>
    </x:row>
    <x:row r="699" ht="24" hidden="0" customHeight="1">
      <x:c r="A699" s="17" t="n">
        <x:v>699</x:v>
      </x:c>
      <x:c r="B699" s="17" t="str">
        <x:v>OP-1137</x:v>
      </x:c>
      <x:c r="C699" s="17" t="str">
        <x:v>OS-5181</x:v>
      </x:c>
      <x:c r="D699" s="17" t="str">
        <x:v>2026-05-19 17:00:00</x:v>
      </x:c>
      <x:c r="E699" s="17" t="str">
        <x:v>Cenofisco Centro de Capacitação Profissional LTDA</x:v>
      </x:c>
      <x:c r="F699" s="17" t="str">
        <x:v>Terezinha Massambani - 41 9996-2221;
Edite Nunes - 41 9996-2221</x:v>
      </x:c>
      <x:c r="G699" s="17" t="str">
        <x:v>Concluído</x:v>
      </x:c>
      <x:c r="H699" s="17" t="str">
        <x:v>Pago</x:v>
      </x:c>
      <x:c r="I699" s="21" t="n">
        <x:v>545</x:v>
      </x:c>
    </x:row>
    <x:row r="700" ht="15" hidden="0" customHeight="1">
      <x:c r="A700" s="17" t="n">
        <x:v>700</x:v>
      </x:c>
      <x:c r="B700" s="17" t="str">
        <x:v>OP-1171</x:v>
      </x:c>
      <x:c r="C700" s="17" t="str">
        <x:v>OS-5413</x:v>
      </x:c>
      <x:c r="D700" s="17" t="str">
        <x:v>2026-05-20 06:00:00</x:v>
      </x:c>
      <x:c r="E700" s="17" t="str">
        <x:v>Ball Corporation</x:v>
      </x:c>
      <x:c r="F700" s="17" t="str">
        <x:v>Gustavo Lisboa - +55 12 99725 6310</x:v>
      </x:c>
      <x:c r="G700" s="17" t="str">
        <x:v>Concluído</x:v>
      </x:c>
      <x:c r="H700" s="17" t="str">
        <x:v>Pago</x:v>
      </x:c>
      <x:c r="I700" s="21" t="n">
        <x:v>445</x:v>
      </x:c>
    </x:row>
    <x:row r="701" ht="15" hidden="0" customHeight="1">
      <x:c r="A701" s="17" t="n">
        <x:v>701</x:v>
      </x:c>
      <x:c r="B701" s="17" t="str">
        <x:v>OP-1174</x:v>
      </x:c>
      <x:c r="C701" s="17" t="str">
        <x:v>OS-5364</x:v>
      </x:c>
      <x:c r="D701" s="17" t="str">
        <x:v>2026-05-20 06:00:00</x:v>
      </x:c>
      <x:c r="E701" s="17" t="str">
        <x:v>Kenvue</x:v>
      </x:c>
      <x:c r="F701" s="17" t="str">
        <x:v>Jeison Souza - indeterminado</x:v>
      </x:c>
      <x:c r="G701" s="17" t="str">
        <x:v>Concluído</x:v>
      </x:c>
      <x:c r="H701" s="17" t="str">
        <x:v>Pago</x:v>
      </x:c>
      <x:c r="I701" s="21" t="n">
        <x:v>2590</x:v>
      </x:c>
    </x:row>
    <x:row r="702" ht="15" hidden="0" customHeight="1">
      <x:c r="A702" s="17" t="n">
        <x:v>702</x:v>
      </x:c>
      <x:c r="B702" s="17" t="str">
        <x:v>OP-1164</x:v>
      </x:c>
      <x:c r="C702" s="17" t="str">
        <x:v>OS-5361</x:v>
      </x:c>
      <x:c r="D702" s="17" t="str">
        <x:v>2026-05-20 06:30:00</x:v>
      </x:c>
      <x:c r="E702" s="17" t="str">
        <x:v>Johnson&amp;Johnson</x:v>
      </x:c>
      <x:c r="F702" s="17" t="str">
        <x:v>Carolina Huang - +55 15 99858-2119</x:v>
      </x:c>
      <x:c r="G702" s="17" t="str">
        <x:v>Concluído</x:v>
      </x:c>
      <x:c r="H702" s="17" t="str">
        <x:v>Pago</x:v>
      </x:c>
      <x:c r="I702" s="21" t="n">
        <x:v>620.49</x:v>
      </x:c>
    </x:row>
    <x:row r="703" ht="15" hidden="0" customHeight="1">
      <x:c r="A703" s="17" t="n">
        <x:v>703</x:v>
      </x:c>
      <x:c r="B703" s="17" t="str">
        <x:v>OP-1187</x:v>
      </x:c>
      <x:c r="C703" s="17" t="str">
        <x:v>OS-5424</x:v>
      </x:c>
      <x:c r="D703" s="17" t="str">
        <x:v>2026-05-20 08:30:00</x:v>
      </x:c>
      <x:c r="E703" s="17" t="str">
        <x:v>Johnson&amp;Johnson</x:v>
      </x:c>
      <x:c r="F703" s="17" t="str">
        <x:v>Alberto Cardoso - +55 12 99629-4747</x:v>
      </x:c>
      <x:c r="G703" s="17" t="str">
        <x:v>Concluído</x:v>
      </x:c>
      <x:c r="H703" s="17" t="str">
        <x:v>Pago</x:v>
      </x:c>
      <x:c r="I703" s="21" t="n">
        <x:v>139.58</x:v>
      </x:c>
    </x:row>
    <x:row r="704" ht="15" hidden="0" customHeight="1">
      <x:c r="A704" s="17" t="n">
        <x:v>704</x:v>
      </x:c>
      <x:c r="B704" s="17" t="str">
        <x:v>OP-1161</x:v>
      </x:c>
      <x:c r="C704" s="17" t="str">
        <x:v>OS-5417</x:v>
      </x:c>
      <x:c r="D704" s="17" t="str">
        <x:v>2026-05-20 10:30:00</x:v>
      </x:c>
      <x:c r="E704" s="17" t="str">
        <x:v>Particular</x:v>
      </x:c>
      <x:c r="F704" s="17" t="str">
        <x:v>Giuliana Pessoa - +55 12 98118-1114</x:v>
      </x:c>
      <x:c r="G704" s="17" t="str">
        <x:v>Concluído</x:v>
      </x:c>
      <x:c r="H704" s="17" t="str">
        <x:v>Pago</x:v>
      </x:c>
      <x:c r="I704" s="21" t="n">
        <x:v>1011.53</x:v>
      </x:c>
    </x:row>
    <x:row r="705" ht="15" hidden="0" customHeight="1">
      <x:c r="A705" s="17" t="n">
        <x:v>705</x:v>
      </x:c>
      <x:c r="B705" s="17" t="str">
        <x:v>OP-1260</x:v>
      </x:c>
      <x:c r="C705" s="17" t="str">
        <x:v>OS-5429</x:v>
      </x:c>
      <x:c r="D705" s="17" t="str">
        <x:v>2026-05-20 13:00:00</x:v>
      </x:c>
      <x:c r="E705" s="17" t="str">
        <x:v>Latasa Recicla BR</x:v>
      </x:c>
      <x:c r="F705" s="17" t="str">
        <x:v>WANGLES CAMARGO PINHO - indeterminado</x:v>
      </x:c>
      <x:c r="G705" s="17" t="str">
        <x:v>Concluído</x:v>
      </x:c>
      <x:c r="H705" s="17" t="str">
        <x:v>Composição Realizada</x:v>
      </x:c>
      <x:c r="I705" s="21" t="n">
        <x:v>85</x:v>
      </x:c>
    </x:row>
    <x:row r="706" ht="15" hidden="0" customHeight="1">
      <x:c r="A706" s="17" t="n">
        <x:v>706</x:v>
      </x:c>
      <x:c r="B706" s="17" t="str">
        <x:v>OP-1260</x:v>
      </x:c>
      <x:c r="C706" s="17" t="str">
        <x:v>OS-5339</x:v>
      </x:c>
      <x:c r="D706" s="17" t="str">
        <x:v>2026-05-20 13:45:00</x:v>
      </x:c>
      <x:c r="E706" s="17" t="str">
        <x:v>Latasa Recicla BR</x:v>
      </x:c>
      <x:c r="F706" s="17" t="str">
        <x:v>Tiago Henrique Santos Xavier - (12) 99142-8629</x:v>
      </x:c>
      <x:c r="G706" s="17" t="str">
        <x:v>Concluído</x:v>
      </x:c>
      <x:c r="H706" s="17" t="str">
        <x:v>Composição Realizada</x:v>
      </x:c>
      <x:c r="I706" s="21" t="n">
        <x:v>85</x:v>
      </x:c>
    </x:row>
    <x:row r="707" ht="15" hidden="0" customHeight="1">
      <x:c r="A707" s="17" t="n">
        <x:v>707</x:v>
      </x:c>
      <x:c r="B707" s="17" t="str">
        <x:v>OP-1187</x:v>
      </x:c>
      <x:c r="C707" s="17" t="str">
        <x:v>OS-5107</x:v>
      </x:c>
      <x:c r="D707" s="17" t="str">
        <x:v>2026-05-20 15:30:00</x:v>
      </x:c>
      <x:c r="E707" s="17" t="str">
        <x:v>Johnson&amp;Johnson</x:v>
      </x:c>
      <x:c r="F707" s="17" t="str">
        <x:v>Alberto Cardoso - +55 12 99629-4747</x:v>
      </x:c>
      <x:c r="G707" s="17" t="str">
        <x:v>Concluído</x:v>
      </x:c>
      <x:c r="H707" s="17" t="str">
        <x:v>Pago</x:v>
      </x:c>
      <x:c r="I707" s="21" t="n">
        <x:v>139.58</x:v>
      </x:c>
    </x:row>
    <x:row r="708" ht="15" hidden="0" customHeight="1">
      <x:c r="A708" s="17" t="n">
        <x:v>708</x:v>
      </x:c>
      <x:c r="B708" s="17" t="str">
        <x:v>OP-1176</x:v>
      </x:c>
      <x:c r="C708" s="17" t="str">
        <x:v>OS-5325</x:v>
      </x:c>
      <x:c r="D708" s="17" t="str">
        <x:v>2026-05-20 17:00:00</x:v>
      </x:c>
      <x:c r="E708" s="17" t="str">
        <x:v>Particular</x:v>
      </x:c>
      <x:c r="F708" s="17" t="str">
        <x:v>Mariana de Souza Bittencourt de Carvalho  - 12 99758-2917</x:v>
      </x:c>
      <x:c r="G708" s="17" t="str">
        <x:v>Concluído</x:v>
      </x:c>
      <x:c r="H708" s="17" t="str">
        <x:v>Pago</x:v>
      </x:c>
      <x:c r="I708" s="21" t="n">
        <x:v>793.06</x:v>
      </x:c>
    </x:row>
    <x:row r="709" ht="15" hidden="0" customHeight="1">
      <x:c r="A709" s="17" t="n">
        <x:v>709</x:v>
      </x:c>
      <x:c r="B709" s="17" t="str">
        <x:v>OP-1174</x:v>
      </x:c>
      <x:c r="C709" s="17" t="str">
        <x:v>OS-5365</x:v>
      </x:c>
      <x:c r="D709" s="17" t="str">
        <x:v>2026-05-21 06:00:00</x:v>
      </x:c>
      <x:c r="E709" s="17" t="str">
        <x:v>Kenvue</x:v>
      </x:c>
      <x:c r="F709" s="17" t="str">
        <x:v>Jeison Souza - indeterminado</x:v>
      </x:c>
      <x:c r="G709" s="17" t="str">
        <x:v>Concluído</x:v>
      </x:c>
      <x:c r="H709" s="17" t="str">
        <x:v>Pago</x:v>
      </x:c>
      <x:c r="I709" s="21" t="n">
        <x:v>2590</x:v>
      </x:c>
    </x:row>
    <x:row r="710" ht="15" hidden="0" customHeight="1">
      <x:c r="A710" s="17" t="n">
        <x:v>710</x:v>
      </x:c>
      <x:c r="B710" s="17" t="str">
        <x:v>OP-1187</x:v>
      </x:c>
      <x:c r="C710" s="17" t="str">
        <x:v>OS-5441</x:v>
      </x:c>
      <x:c r="D710" s="17" t="str">
        <x:v>2026-05-21 08:30:00</x:v>
      </x:c>
      <x:c r="E710" s="17" t="str">
        <x:v>Johnson&amp;Johnson</x:v>
      </x:c>
      <x:c r="F710" s="17" t="str">
        <x:v>Alberto Cardoso - +55 12 99629-4747</x:v>
      </x:c>
      <x:c r="G710" s="17" t="str">
        <x:v>Concluído</x:v>
      </x:c>
      <x:c r="H710" s="17" t="str">
        <x:v>Pago</x:v>
      </x:c>
      <x:c r="I710" s="21" t="n">
        <x:v>139.58</x:v>
      </x:c>
    </x:row>
    <x:row r="711" ht="15" hidden="0" customHeight="1">
      <x:c r="A711" s="17" t="n">
        <x:v>711</x:v>
      </x:c>
      <x:c r="B711" s="17" t="str">
        <x:v>OP-1211</x:v>
      </x:c>
      <x:c r="C711" s="17" t="str">
        <x:v>OS-5422</x:v>
      </x:c>
      <x:c r="D711" s="17" t="str">
        <x:v>2026-05-21 09:00:00</x:v>
      </x:c>
      <x:c r="E711" s="17" t="str">
        <x:v>Kenvue</x:v>
      </x:c>
      <x:c r="F711" s="17" t="str">
        <x:v>Adriana Lopes de Souza Silva - 12997236961</x:v>
      </x:c>
      <x:c r="G711" s="17" t="str">
        <x:v>Concluído</x:v>
      </x:c>
      <x:c r="H711" s="17" t="str">
        <x:v>Pago</x:v>
      </x:c>
      <x:c r="I711" s="21" t="n">
        <x:v>1503.3</x:v>
      </x:c>
    </x:row>
    <x:row r="712" ht="15" hidden="0" customHeight="1">
      <x:c r="A712" s="17" t="n">
        <x:v>712</x:v>
      </x:c>
      <x:c r="B712" s="17" t="str">
        <x:v>OP-1162</x:v>
      </x:c>
      <x:c r="C712" s="17" t="str">
        <x:v>OS-5088</x:v>
      </x:c>
      <x:c r="D712" s="17" t="str">
        <x:v>2026-05-21 09:30:00</x:v>
      </x:c>
      <x:c r="E712" s="17" t="str">
        <x:v>Boeing</x:v>
      </x:c>
      <x:c r="F712" s="17" t="str">
        <x:v>Denis Vieira Lima - 12-997236908</x:v>
      </x:c>
      <x:c r="G712" s="17" t="str">
        <x:v>Concluído</x:v>
      </x:c>
      <x:c r="H712" s="17" t="str">
        <x:v>Pago</x:v>
      </x:c>
      <x:c r="I712" s="21" t="n">
        <x:v>463.05</x:v>
      </x:c>
    </x:row>
    <x:row r="713" ht="15" hidden="0" customHeight="1">
      <x:c r="A713" s="17" t="n">
        <x:v>713</x:v>
      </x:c>
      <x:c r="B713" s="17" t="str">
        <x:v>OP-1260</x:v>
      </x:c>
      <x:c r="C713" s="17" t="str">
        <x:v>OS-5462</x:v>
      </x:c>
      <x:c r="D713" s="17" t="str">
        <x:v>2026-05-21 11:00:00</x:v>
      </x:c>
      <x:c r="E713" s="17" t="str">
        <x:v>Latasa Recicla BR</x:v>
      </x:c>
      <x:c r="F713" s="17" t="str">
        <x:v>WASHINGTON LUIS MONTEIRO - 12 97410-5032</x:v>
      </x:c>
      <x:c r="G713" s="17" t="str">
        <x:v>Concluído</x:v>
      </x:c>
      <x:c r="H713" s="17" t="str">
        <x:v>Composição Realizada</x:v>
      </x:c>
      <x:c r="I713" s="21" t="n">
        <x:v>85</x:v>
      </x:c>
    </x:row>
    <x:row r="714" ht="15" hidden="0" customHeight="1">
      <x:c r="A714" s="17" t="n">
        <x:v>714</x:v>
      </x:c>
      <x:c r="B714" s="17" t="str">
        <x:v>OP-1260</x:v>
      </x:c>
      <x:c r="C714" s="17" t="str">
        <x:v>OS-5461</x:v>
      </x:c>
      <x:c r="D714" s="17" t="str">
        <x:v>2026-05-21 11:40:00</x:v>
      </x:c>
      <x:c r="E714" s="17" t="str">
        <x:v>Latasa Recicla BR</x:v>
      </x:c>
      <x:c r="F714" s="17" t="str">
        <x:v>ROBSON GONCALVES PEREIRA - 12 98205-6982</x:v>
      </x:c>
      <x:c r="G714" s="17" t="str">
        <x:v>Concluído</x:v>
      </x:c>
      <x:c r="H714" s="17" t="str">
        <x:v>Composição Realizada</x:v>
      </x:c>
      <x:c r="I714" s="21" t="n">
        <x:v>85</x:v>
      </x:c>
    </x:row>
    <x:row r="715" ht="15" hidden="0" customHeight="1">
      <x:c r="A715" s="17" t="n">
        <x:v>715</x:v>
      </x:c>
      <x:c r="B715" s="17" t="str">
        <x:v>OP-1187</x:v>
      </x:c>
      <x:c r="C715" s="17" t="str">
        <x:v>OS-5108</x:v>
      </x:c>
      <x:c r="D715" s="17" t="str">
        <x:v>2026-05-21 15:30:00</x:v>
      </x:c>
      <x:c r="E715" s="17" t="str">
        <x:v>Johnson&amp;Johnson</x:v>
      </x:c>
      <x:c r="F715" s="17" t="str">
        <x:v>Alberto Cardoso - +55 12 99629-4747</x:v>
      </x:c>
      <x:c r="G715" s="17" t="str">
        <x:v>Concluído</x:v>
      </x:c>
      <x:c r="H715" s="17" t="str">
        <x:v>Pago</x:v>
      </x:c>
      <x:c r="I715" s="21" t="n">
        <x:v>139.58</x:v>
      </x:c>
    </x:row>
    <x:row r="716" ht="15" hidden="0" customHeight="1">
      <x:c r="A716" s="17" t="n">
        <x:v>716</x:v>
      </x:c>
      <x:c r="B716" s="17" t="str">
        <x:v>OP-1164</x:v>
      </x:c>
      <x:c r="C716" s="17" t="str">
        <x:v>OS-5362</x:v>
      </x:c>
      <x:c r="D716" s="17" t="str">
        <x:v>2026-05-21 16:00:00</x:v>
      </x:c>
      <x:c r="E716" s="17" t="str">
        <x:v>Johnson&amp;Johnson</x:v>
      </x:c>
      <x:c r="F716" s="17" t="str">
        <x:v>Carolina Huang - +55 15 99858-2119</x:v>
      </x:c>
      <x:c r="G716" s="17" t="str">
        <x:v>Concluído</x:v>
      </x:c>
      <x:c r="H716" s="17" t="str">
        <x:v>Pago</x:v>
      </x:c>
      <x:c r="I716" s="21" t="n">
        <x:v>715.49</x:v>
      </x:c>
    </x:row>
    <x:row r="717" ht="15" hidden="0" customHeight="1">
      <x:c r="A717" s="17" t="n">
        <x:v>717</x:v>
      </x:c>
      <x:c r="B717" s="17" t="str">
        <x:v>OP-1160</x:v>
      </x:c>
      <x:c r="C717" s="17" t="str">
        <x:v>OS-4906</x:v>
      </x:c>
      <x:c r="D717" s="17" t="str">
        <x:v>2026-05-21 16:00:00</x:v>
      </x:c>
      <x:c r="E717" s="17" t="str">
        <x:v>Kenvue</x:v>
      </x:c>
      <x:c r="F717" s="17" t="str">
        <x:v>Anthony Angelosante - +1 908-240-5071</x:v>
      </x:c>
      <x:c r="G717" s="17" t="str">
        <x:v>Concluído</x:v>
      </x:c>
      <x:c r="H717" s="17" t="str">
        <x:v>Pago</x:v>
      </x:c>
      <x:c r="I717" s="21" t="n">
        <x:v>620.49</x:v>
      </x:c>
    </x:row>
    <x:row r="718" ht="15" hidden="0" customHeight="1">
      <x:c r="A718" s="17" t="n">
        <x:v>718</x:v>
      </x:c>
      <x:c r="B718" s="17" t="str">
        <x:v>OP-1174</x:v>
      </x:c>
      <x:c r="C718" s="17" t="str">
        <x:v>OS-5477</x:v>
      </x:c>
      <x:c r="D718" s="17" t="str">
        <x:v>2026-05-22 06:00:00</x:v>
      </x:c>
      <x:c r="E718" s="17" t="str">
        <x:v>Kenvue</x:v>
      </x:c>
      <x:c r="F718" s="17" t="str">
        <x:v>Jeison Souza - indeterminado</x:v>
      </x:c>
      <x:c r="G718" s="17" t="str">
        <x:v>Concluído</x:v>
      </x:c>
      <x:c r="H718" s="17" t="str">
        <x:v>Pago</x:v>
      </x:c>
      <x:c r="I718" s="21" t="n">
        <x:v>2590</x:v>
      </x:c>
    </x:row>
    <x:row r="719" ht="15" hidden="0" customHeight="1">
      <x:c r="A719" s="17" t="n">
        <x:v>719</x:v>
      </x:c>
      <x:c r="B719" s="17" t="str">
        <x:v>OP-1187</x:v>
      </x:c>
      <x:c r="C719" s="17" t="str">
        <x:v>OS-5468</x:v>
      </x:c>
      <x:c r="D719" s="17" t="str">
        <x:v>2026-05-22 08:30:00</x:v>
      </x:c>
      <x:c r="E719" s="17" t="str">
        <x:v>Johnson&amp;Johnson</x:v>
      </x:c>
      <x:c r="F719" s="17" t="str">
        <x:v>Alberto Cardoso - +55 12 99629-4747</x:v>
      </x:c>
      <x:c r="G719" s="17" t="str">
        <x:v>Cancelado</x:v>
      </x:c>
      <x:c r="H719" s="17" t="str">
        <x:v>Pago</x:v>
      </x:c>
      <x:c r="I719" s="21" t="n">
        <x:v>0</x:v>
      </x:c>
    </x:row>
    <x:row r="720" ht="15" hidden="0" customHeight="1">
      <x:c r="A720" s="17" t="n">
        <x:v>720</x:v>
      </x:c>
      <x:c r="B720" s="17" t="str">
        <x:v>OP-1171</x:v>
      </x:c>
      <x:c r="C720" s="17" t="str">
        <x:v>OS-5414</x:v>
      </x:c>
      <x:c r="D720" s="17" t="str">
        <x:v>2026-05-22 13:30:00</x:v>
      </x:c>
      <x:c r="E720" s="17" t="str">
        <x:v>Ball Corporation</x:v>
      </x:c>
      <x:c r="F720" s="17" t="str">
        <x:v>Gustavo Lisboa - +55 12 99725 6310</x:v>
      </x:c>
      <x:c r="G720" s="17" t="str">
        <x:v>Concluído</x:v>
      </x:c>
      <x:c r="H720" s="17" t="str">
        <x:v>Pago</x:v>
      </x:c>
      <x:c r="I720" s="21" t="n">
        <x:v>512</x:v>
      </x:c>
    </x:row>
    <x:row r="721" ht="15" hidden="0" customHeight="1">
      <x:c r="A721" s="17" t="n">
        <x:v>721</x:v>
      </x:c>
      <x:c r="B721" s="17" t="str">
        <x:v>OP-1260</x:v>
      </x:c>
      <x:c r="C721" s="17" t="str">
        <x:v>OS-5426</x:v>
      </x:c>
      <x:c r="D721" s="17" t="str">
        <x:v>2026-05-22 13:30:00</x:v>
      </x:c>
      <x:c r="E721" s="17" t="str">
        <x:v>Latasa Recicla BR</x:v>
      </x:c>
      <x:c r="F721" s="17" t="str">
        <x:v>Tiago Henrique Santos Xavier - (12) 99142-8629</x:v>
      </x:c>
      <x:c r="G721" s="17" t="str">
        <x:v>Concluído</x:v>
      </x:c>
      <x:c r="H721" s="17" t="str">
        <x:v>Composição Realizada</x:v>
      </x:c>
      <x:c r="I721" s="21" t="n">
        <x:v>85</x:v>
      </x:c>
    </x:row>
    <x:row r="722" ht="15" hidden="0" customHeight="1">
      <x:c r="A722" s="17" t="n">
        <x:v>722</x:v>
      </x:c>
      <x:c r="B722" s="17" t="str">
        <x:v>OP-1187</x:v>
      </x:c>
      <x:c r="C722" s="17" t="str">
        <x:v>OS-5109</x:v>
      </x:c>
      <x:c r="D722" s="17" t="str">
        <x:v>2026-05-22 15:30:00</x:v>
      </x:c>
      <x:c r="E722" s="17" t="str">
        <x:v>Johnson&amp;Johnson</x:v>
      </x:c>
      <x:c r="F722" s="17" t="str">
        <x:v>Alberto Cardoso - +55 12 99629-4747</x:v>
      </x:c>
      <x:c r="G722" s="17" t="str">
        <x:v>Cancelado</x:v>
      </x:c>
      <x:c r="H722" s="17" t="str">
        <x:v>Pago</x:v>
      </x:c>
      <x:c r="I722" s="21" t="n">
        <x:v>0</x:v>
      </x:c>
    </x:row>
    <x:row r="723" ht="15" hidden="0" customHeight="1">
      <x:c r="A723" s="17" t="n">
        <x:v>723</x:v>
      </x:c>
      <x:c r="B723" s="17" t="str">
        <x:v>OP-1221</x:v>
      </x:c>
      <x:c r="C723" s="17" t="str">
        <x:v>OS-5130</x:v>
      </x:c>
      <x:c r="D723" s="17" t="str">
        <x:v>2026-05-22 16:00:00</x:v>
      </x:c>
      <x:c r="E723" s="17" t="str">
        <x:v>Eldorado do Brasil</x:v>
      </x:c>
      <x:c r="F723" s="17" t="str">
        <x:v>Carlos Roberto Paiva Monteiro - (12) 9 9713-2722</x:v>
      </x:c>
      <x:c r="G723" s="17" t="str">
        <x:v>Concluído</x:v>
      </x:c>
      <x:c r="H723" s="17" t="str">
        <x:v>Pago</x:v>
      </x:c>
      <x:c r="I723" s="21" t="n">
        <x:v>649.95</x:v>
      </x:c>
    </x:row>
    <x:row r="724" ht="15" hidden="0" customHeight="1">
      <x:c r="A724" s="17" t="n">
        <x:v>724</x:v>
      </x:c>
      <x:c r="B724" s="17" t="str">
        <x:v>OP-1165</x:v>
      </x:c>
      <x:c r="C724" s="17" t="str">
        <x:v>OS-5229</x:v>
      </x:c>
      <x:c r="D724" s="17" t="str">
        <x:v>2026-05-22 19:50:00</x:v>
      </x:c>
      <x:c r="E724" s="17" t="str">
        <x:v>Johnson&amp;Johnson</x:v>
      </x:c>
      <x:c r="F724" s="17" t="str">
        <x:v>Thais Figueiredo - +55 12 98867-4932</x:v>
      </x:c>
      <x:c r="G724" s="17" t="str">
        <x:v>Concluído</x:v>
      </x:c>
      <x:c r="H724" s="17" t="str">
        <x:v>Pago</x:v>
      </x:c>
      <x:c r="I724" s="21" t="n">
        <x:v>509.98</x:v>
      </x:c>
    </x:row>
    <x:row r="725" ht="15" hidden="0" customHeight="1">
      <x:c r="A725" s="17" t="n">
        <x:v>725</x:v>
      </x:c>
      <x:c r="B725" s="17" t="str">
        <x:v>OP-1184</x:v>
      </x:c>
      <x:c r="C725" s="17" t="str">
        <x:v>OS-4667</x:v>
      </x:c>
      <x:c r="D725" s="17" t="str">
        <x:v>2026-05-22 20:00:00</x:v>
      </x:c>
      <x:c r="E725" s="17" t="str">
        <x:v>Johnson&amp;Johnson</x:v>
      </x:c>
      <x:c r="F725" s="17" t="str">
        <x:v>Aline Galdieri - +551299165-5286</x:v>
      </x:c>
      <x:c r="G725" s="17" t="str">
        <x:v>Concluído</x:v>
      </x:c>
      <x:c r="H725" s="17" t="str">
        <x:v>Pago</x:v>
      </x:c>
      <x:c r="I725" s="21" t="n">
        <x:v>509.98</x:v>
      </x:c>
    </x:row>
    <x:row r="726" ht="15" hidden="0" customHeight="1">
      <x:c r="A726" s="17" t="n">
        <x:v>726</x:v>
      </x:c>
      <x:c r="B726" s="17" t="str">
        <x:v>OP-1233</x:v>
      </x:c>
      <x:c r="C726" s="17" t="str">
        <x:v>OS-5323</x:v>
      </x:c>
      <x:c r="D726" s="17" t="str">
        <x:v>2026-05-23 06:30:00</x:v>
      </x:c>
      <x:c r="E726" s="17" t="str">
        <x:v>Johnson&amp;Johnson</x:v>
      </x:c>
      <x:c r="F726" s="17" t="str">
        <x:v>Luciano de Paula - +55 12 99168-4442</x:v>
      </x:c>
      <x:c r="G726" s="17" t="str">
        <x:v>Concluído</x:v>
      </x:c>
      <x:c r="H726" s="17" t="str">
        <x:v>Pago</x:v>
      </x:c>
      <x:c r="I726" s="21" t="n">
        <x:v>509.98</x:v>
      </x:c>
    </x:row>
    <x:row r="727" ht="15" hidden="0" customHeight="1">
      <x:c r="A727" s="17" t="n">
        <x:v>727</x:v>
      </x:c>
      <x:c r="B727" s="17" t="str">
        <x:v>OP-1177</x:v>
      </x:c>
      <x:c r="C727" s="17" t="str">
        <x:v>OS-5486</x:v>
      </x:c>
      <x:c r="D727" s="17" t="str">
        <x:v>2026-05-23 08:30:00</x:v>
      </x:c>
      <x:c r="E727" s="17" t="str">
        <x:v>Particular</x:v>
      </x:c>
      <x:c r="F727" s="17" t="str">
        <x:v>Fábio Peixoto - +55 12 99737-1107</x:v>
      </x:c>
      <x:c r="G727" s="17" t="str">
        <x:v>Concluído</x:v>
      </x:c>
      <x:c r="H727" s="17" t="str">
        <x:v>Pago</x:v>
      </x:c>
      <x:c r="I727" s="21" t="n">
        <x:v>426</x:v>
      </x:c>
    </x:row>
    <x:row r="728" ht="15" hidden="0" customHeight="1">
      <x:c r="A728" s="17" t="n">
        <x:v>728</x:v>
      </x:c>
      <x:c r="B728" s="17" t="str">
        <x:v>OP-1187</x:v>
      </x:c>
      <x:c r="C728" s="17" t="str">
        <x:v>OS-5110</x:v>
      </x:c>
      <x:c r="D728" s="17" t="str">
        <x:v>2026-05-23 16:00:00</x:v>
      </x:c>
      <x:c r="E728" s="17" t="str">
        <x:v>Johnson&amp;Johnson</x:v>
      </x:c>
      <x:c r="F728" s="17" t="str">
        <x:v>Alberto Cardoso - +55 12 99629-4747</x:v>
      </x:c>
      <x:c r="G728" s="17" t="str">
        <x:v>Cancelado</x:v>
      </x:c>
      <x:c r="H728" s="17" t="str">
        <x:v>Pago</x:v>
      </x:c>
      <x:c r="I728" s="21" t="n">
        <x:v>0</x:v>
      </x:c>
    </x:row>
    <x:row r="729" ht="24" hidden="0" customHeight="1">
      <x:c r="A729" s="17" t="n">
        <x:v>729</x:v>
      </x:c>
      <x:c r="B729" s="17" t="str">
        <x:v>OP-1208</x:v>
      </x:c>
      <x:c r="C729" s="17" t="str">
        <x:v>OS-5508</x:v>
      </x:c>
      <x:c r="D729" s="17" t="str">
        <x:v>2026-05-23 16:40:00</x:v>
      </x:c>
      <x:c r="E729" s="17" t="str">
        <x:v>Boeing</x:v>
      </x:c>
      <x:c r="F729" s="17" t="str">
        <x:v>Lucas Alves Salles - 12 99611-5242;
Andrei Testi - 12 98118-8065</x:v>
      </x:c>
      <x:c r="G729" s="17" t="str">
        <x:v>Concluído</x:v>
      </x:c>
      <x:c r="H729" s="17" t="str">
        <x:v>Pago</x:v>
      </x:c>
      <x:c r="I729" s="21" t="n">
        <x:v>546.05</x:v>
      </x:c>
    </x:row>
    <x:row r="730" ht="15" hidden="0" customHeight="1">
      <x:c r="A730" s="17" t="n">
        <x:v>730</x:v>
      </x:c>
      <x:c r="B730" s="17" t="str">
        <x:v>OP-1201</x:v>
      </x:c>
      <x:c r="C730" s="17" t="str">
        <x:v>OS-5368</x:v>
      </x:c>
      <x:c r="D730" s="17" t="str">
        <x:v>2026-05-24 05:15:00</x:v>
      </x:c>
      <x:c r="E730" s="17" t="str">
        <x:v>Johnson&amp;Johnson</x:v>
      </x:c>
      <x:c r="F730" s="17" t="str">
        <x:v>Jordy Dhondt - indeterminado</x:v>
      </x:c>
      <x:c r="G730" s="17" t="str">
        <x:v>Concluído</x:v>
      </x:c>
      <x:c r="H730" s="17" t="str">
        <x:v>Pago</x:v>
      </x:c>
      <x:c r="I730" s="21" t="n">
        <x:v>576.42</x:v>
      </x:c>
    </x:row>
    <x:row r="731" ht="15" hidden="0" customHeight="1">
      <x:c r="A731" s="17" t="n">
        <x:v>731</x:v>
      </x:c>
      <x:c r="B731" s="17" t="str">
        <x:v>OP-1163</x:v>
      </x:c>
      <x:c r="C731" s="17" t="str">
        <x:v>OS-5330</x:v>
      </x:c>
      <x:c r="D731" s="17" t="str">
        <x:v>2026-05-24 05:25:00</x:v>
      </x:c>
      <x:c r="E731" s="17" t="str">
        <x:v>Johnson&amp;Johnson</x:v>
      </x:c>
      <x:c r="F731" s="17" t="str">
        <x:v>ARACELI CASTILLO MERINO - +52 55 4192 0977</x:v>
      </x:c>
      <x:c r="G731" s="17" t="str">
        <x:v>Concluído</x:v>
      </x:c>
      <x:c r="H731" s="17" t="str">
        <x:v>Pagamento Pendente</x:v>
      </x:c>
      <x:c r="I731" s="21" t="n">
        <x:v>576.42</x:v>
      </x:c>
    </x:row>
    <x:row r="732" ht="15" hidden="0" customHeight="1">
      <x:c r="A732" s="17" t="n">
        <x:v>732</x:v>
      </x:c>
      <x:c r="B732" s="17" t="str">
        <x:v>OP-1201</x:v>
      </x:c>
      <x:c r="C732" s="17" t="str">
        <x:v>OS-5369</x:v>
      </x:c>
      <x:c r="D732" s="17" t="str">
        <x:v>2026-05-24 05:30:00</x:v>
      </x:c>
      <x:c r="E732" s="17" t="str">
        <x:v>Johnson&amp;Johnson</x:v>
      </x:c>
      <x:c r="F732" s="17" t="str">
        <x:v>Melisa Noble - indeterminado</x:v>
      </x:c>
      <x:c r="G732" s="17" t="str">
        <x:v>Concluído</x:v>
      </x:c>
      <x:c r="H732" s="17" t="str">
        <x:v>Pago</x:v>
      </x:c>
      <x:c r="I732" s="21" t="n">
        <x:v>576.42</x:v>
      </x:c>
    </x:row>
    <x:row r="733" ht="15" hidden="0" customHeight="1">
      <x:c r="A733" s="17" t="n">
        <x:v>733</x:v>
      </x:c>
      <x:c r="B733" s="17" t="str">
        <x:v>OP-1201</x:v>
      </x:c>
      <x:c r="C733" s="17" t="str">
        <x:v>OS-5370</x:v>
      </x:c>
      <x:c r="D733" s="17" t="str">
        <x:v>2026-05-24 05:30:00</x:v>
      </x:c>
      <x:c r="E733" s="17" t="str">
        <x:v>Johnson&amp;Johnson</x:v>
      </x:c>
      <x:c r="F733" s="17" t="str">
        <x:v>Karin Van Laethem - indeterminado</x:v>
      </x:c>
      <x:c r="G733" s="17" t="str">
        <x:v>Concluído</x:v>
      </x:c>
      <x:c r="H733" s="17" t="str">
        <x:v>Pago</x:v>
      </x:c>
      <x:c r="I733" s="21" t="n">
        <x:v>576.42</x:v>
      </x:c>
    </x:row>
    <x:row r="734" ht="15" hidden="0" customHeight="1">
      <x:c r="A734" s="17" t="n">
        <x:v>734</x:v>
      </x:c>
      <x:c r="B734" s="17" t="str">
        <x:v>OP-1168</x:v>
      </x:c>
      <x:c r="C734" s="17" t="str">
        <x:v>OS-4875</x:v>
      </x:c>
      <x:c r="D734" s="17" t="str">
        <x:v>2026-05-24 05:40:00</x:v>
      </x:c>
      <x:c r="E734" s="17" t="str">
        <x:v>Boeing</x:v>
      </x:c>
      <x:c r="F734" s="17" t="str">
        <x:v>Igor Siqueira - 012-99248-1752</x:v>
      </x:c>
      <x:c r="G734" s="17" t="str">
        <x:v>Concluído</x:v>
      </x:c>
      <x:c r="H734" s="17" t="str">
        <x:v>Pago</x:v>
      </x:c>
      <x:c r="I734" s="21" t="n">
        <x:v>463.05</x:v>
      </x:c>
    </x:row>
    <x:row r="735" ht="15" hidden="0" customHeight="1">
      <x:c r="A735" s="17" t="n">
        <x:v>735</x:v>
      </x:c>
      <x:c r="B735" s="17" t="str">
        <x:v>OP-1259</x:v>
      </x:c>
      <x:c r="C735" s="17" t="str">
        <x:v>OS-5514</x:v>
      </x:c>
      <x:c r="D735" s="17" t="str">
        <x:v>2026-05-24 13:50:00</x:v>
      </x:c>
      <x:c r="E735" s="17" t="str">
        <x:v>Boeing</x:v>
      </x:c>
      <x:c r="F735" s="17" t="str">
        <x:v>Ronaldo Rogeri - +55 12 99700-4607</x:v>
      </x:c>
      <x:c r="G735" s="17" t="str">
        <x:v>Concluído</x:v>
      </x:c>
      <x:c r="H735" s="17" t="str">
        <x:v>Pago</x:v>
      </x:c>
      <x:c r="I735" s="21" t="n">
        <x:v>396.05</x:v>
      </x:c>
    </x:row>
    <x:row r="736" ht="15" hidden="0" customHeight="1">
      <x:c r="A736" s="17" t="n">
        <x:v>736</x:v>
      </x:c>
      <x:c r="B736" s="17" t="str">
        <x:v>OP-1185</x:v>
      </x:c>
      <x:c r="C736" s="17" t="str">
        <x:v>OS-5451</x:v>
      </x:c>
      <x:c r="D736" s="17" t="str">
        <x:v>2026-05-24 14:00:00</x:v>
      </x:c>
      <x:c r="E736" s="17" t="str">
        <x:v>Boeing</x:v>
      </x:c>
      <x:c r="F736" s="17" t="str">
        <x:v>Cibele Carvalho Silva - +55 12 991495546</x:v>
      </x:c>
      <x:c r="G736" s="17" t="str">
        <x:v>Concluído</x:v>
      </x:c>
      <x:c r="H736" s="17" t="str">
        <x:v>Pago</x:v>
      </x:c>
      <x:c r="I736" s="21" t="n">
        <x:v>396.05</x:v>
      </x:c>
    </x:row>
    <x:row r="737" ht="15" hidden="0" customHeight="1">
      <x:c r="A737" s="17" t="n">
        <x:v>737</x:v>
      </x:c>
      <x:c r="B737" s="17" t="str">
        <x:v>OP-1201</x:v>
      </x:c>
      <x:c r="C737" s="17" t="str">
        <x:v>OS-5367</x:v>
      </x:c>
      <x:c r="D737" s="17" t="str">
        <x:v>2026-05-24 14:25:00</x:v>
      </x:c>
      <x:c r="E737" s="17" t="str">
        <x:v>Johnson&amp;Johnson</x:v>
      </x:c>
      <x:c r="F737" s="17" t="str">
        <x:v>Diana Rubinstein - indeterminado</x:v>
      </x:c>
      <x:c r="G737" s="17" t="str">
        <x:v>Concluído</x:v>
      </x:c>
      <x:c r="H737" s="17" t="str">
        <x:v>Pago</x:v>
      </x:c>
      <x:c r="I737" s="21" t="n">
        <x:v>576.42</x:v>
      </x:c>
    </x:row>
    <x:row r="738" ht="24" hidden="0" customHeight="1">
      <x:c r="A738" s="17" t="n">
        <x:v>738</x:v>
      </x:c>
      <x:c r="B738" s="17" t="str">
        <x:v>OP-1207</x:v>
      </x:c>
      <x:c r="C738" s="17" t="str">
        <x:v>OS-5510</x:v>
      </x:c>
      <x:c r="D738" s="17" t="str">
        <x:v>2026-05-24 16:00:00</x:v>
      </x:c>
      <x:c r="E738" s="17" t="str">
        <x:v>Boeing</x:v>
      </x:c>
      <x:c r="F738" s="17" t="str">
        <x:v>Teo Lenquist da Rocha - 12 9 9671-8688;
Rene Costa Araújo - indeterminado</x:v>
      </x:c>
      <x:c r="G738" s="17" t="str">
        <x:v>Concluído</x:v>
      </x:c>
      <x:c r="H738" s="17" t="str">
        <x:v>Pago</x:v>
      </x:c>
      <x:c r="I738" s="21" t="n">
        <x:v>445.97</x:v>
      </x:c>
    </x:row>
    <x:row r="739" ht="15" hidden="0" customHeight="1">
      <x:c r="A739" s="17" t="n">
        <x:v>739</x:v>
      </x:c>
      <x:c r="B739" s="17" t="str">
        <x:v>OP-1201</x:v>
      </x:c>
      <x:c r="C739" s="17" t="str">
        <x:v>OS-5366</x:v>
      </x:c>
      <x:c r="D739" s="17" t="str">
        <x:v>2026-05-24 16:00:00</x:v>
      </x:c>
      <x:c r="E739" s="17" t="str">
        <x:v>Johnson&amp;Johnson</x:v>
      </x:c>
      <x:c r="F739" s="17" t="str">
        <x:v>Felipe Barreto - indeterminado</x:v>
      </x:c>
      <x:c r="G739" s="17" t="str">
        <x:v>Concluído</x:v>
      </x:c>
      <x:c r="H739" s="17" t="str">
        <x:v>Pago</x:v>
      </x:c>
      <x:c r="I739" s="21" t="n">
        <x:v>576.42</x:v>
      </x:c>
    </x:row>
    <x:row r="740" ht="15" hidden="0" customHeight="1">
      <x:c r="A740" s="17" t="n">
        <x:v>740</x:v>
      </x:c>
      <x:c r="B740" s="17" t="str">
        <x:v>OP-1187</x:v>
      </x:c>
      <x:c r="C740" s="17" t="str">
        <x:v>OS-5111</x:v>
      </x:c>
      <x:c r="D740" s="17" t="str">
        <x:v>2026-05-24 16:00:00</x:v>
      </x:c>
      <x:c r="E740" s="17" t="str">
        <x:v>Johnson&amp;Johnson</x:v>
      </x:c>
      <x:c r="F740" s="17" t="str">
        <x:v>Alberto Cardoso - +55 12 99629-4747</x:v>
      </x:c>
      <x:c r="G740" s="17" t="str">
        <x:v>Cancelado</x:v>
      </x:c>
      <x:c r="H740" s="17" t="str">
        <x:v>Pago</x:v>
      </x:c>
      <x:c r="I740" s="21" t="n">
        <x:v>0</x:v>
      </x:c>
    </x:row>
    <x:row r="741" ht="36" hidden="0" customHeight="1">
      <x:c r="A741" s="17" t="n">
        <x:v>741</x:v>
      </x:c>
      <x:c r="B741" s="17" t="str">
        <x:v>OP-1163</x:v>
      </x:c>
      <x:c r="C741" s="17" t="str">
        <x:v>OS-5331</x:v>
      </x:c>
      <x:c r="D741" s="17" t="str">
        <x:v>2026-05-24 16:00:00</x:v>
      </x:c>
      <x:c r="E741" s="17" t="str">
        <x:v>Johnson&amp;Johnson</x:v>
      </x:c>
      <x:c r="F741" s="17" t="str">
        <x:v>JENNY CAROLINA CANO MONROY - +57 3002954794;
ELIZABETH CAMARGO RODRIGUEZ - +573137456076 / +573214104776;
DIANA CAROLINA SANTISTEBAN VILLAMONTE - +51997556342</x:v>
      </x:c>
      <x:c r="G741" s="17" t="str">
        <x:v>Concluído</x:v>
      </x:c>
      <x:c r="H741" s="17" t="str">
        <x:v>Pagamento Pendente</x:v>
      </x:c>
      <x:c r="I741" s="21" t="n">
        <x:v>576.42</x:v>
      </x:c>
    </x:row>
    <x:row r="742" ht="15" hidden="0" customHeight="1">
      <x:c r="A742" s="17" t="n">
        <x:v>742</x:v>
      </x:c>
      <x:c r="B742" s="17" t="str">
        <x:v>OP-1278</x:v>
      </x:c>
      <x:c r="C742" s="17" t="str">
        <x:v>OS-5396</x:v>
      </x:c>
      <x:c r="D742" s="17" t="str">
        <x:v>2026-05-24 17:00:00</x:v>
      </x:c>
      <x:c r="E742" s="17" t="str">
        <x:v>Boeing</x:v>
      </x:c>
      <x:c r="F742" s="17" t="str">
        <x:v>Frederico Marcelino - +55 31 9125-9285</x:v>
      </x:c>
      <x:c r="G742" s="17" t="str">
        <x:v>Concluído</x:v>
      </x:c>
      <x:c r="H742" s="17" t="str">
        <x:v>Pago</x:v>
      </x:c>
      <x:c r="I742" s="21" t="n">
        <x:v>396.05</x:v>
      </x:c>
    </x:row>
    <x:row r="743" ht="15" hidden="0" customHeight="1">
      <x:c r="A743" s="17" t="n">
        <x:v>743</x:v>
      </x:c>
      <x:c r="B743" s="17" t="str">
        <x:v>OP-1228</x:v>
      </x:c>
      <x:c r="C743" s="17" t="str">
        <x:v>OS-5127</x:v>
      </x:c>
      <x:c r="D743" s="17" t="str">
        <x:v>2026-05-24 17:30:00</x:v>
      </x:c>
      <x:c r="E743" s="17" t="str">
        <x:v>Johnson&amp;Johnson</x:v>
      </x:c>
      <x:c r="F743" s="17" t="str">
        <x:v>Lucas G. Pizzato - +55 12 99723-5606</x:v>
      </x:c>
      <x:c r="G743" s="17" t="str">
        <x:v>Concluído</x:v>
      </x:c>
      <x:c r="H743" s="17" t="str">
        <x:v>Pago</x:v>
      </x:c>
      <x:c r="I743" s="21" t="n">
        <x:v>442.98</x:v>
      </x:c>
    </x:row>
    <x:row r="744" ht="15" hidden="0" customHeight="1">
      <x:c r="A744" s="17" t="n">
        <x:v>744</x:v>
      </x:c>
      <x:c r="B744" s="17" t="str">
        <x:v>OP-1186</x:v>
      </x:c>
      <x:c r="C744" s="17" t="str">
        <x:v>OS-5140</x:v>
      </x:c>
      <x:c r="D744" s="17" t="str">
        <x:v>2026-05-24 17:30:00</x:v>
      </x:c>
      <x:c r="E744" s="17" t="str">
        <x:v>Johnson&amp;Johnson</x:v>
      </x:c>
      <x:c r="F744" s="17" t="str">
        <x:v>Fernanda Runha - +55 12 98122-8335</x:v>
      </x:c>
      <x:c r="G744" s="17" t="str">
        <x:v>Concluído</x:v>
      </x:c>
      <x:c r="H744" s="17" t="str">
        <x:v>Pago</x:v>
      </x:c>
      <x:c r="I744" s="21" t="n">
        <x:v>442.98</x:v>
      </x:c>
    </x:row>
    <x:row r="745" ht="15" hidden="0" customHeight="1">
      <x:c r="A745" s="17" t="n">
        <x:v>745</x:v>
      </x:c>
      <x:c r="B745" s="17" t="str">
        <x:v>OP-1213</x:v>
      </x:c>
      <x:c r="C745" s="17" t="str">
        <x:v>OS-5493</x:v>
      </x:c>
      <x:c r="D745" s="17" t="str">
        <x:v>2026-05-24 18:00:00</x:v>
      </x:c>
      <x:c r="E745" s="17" t="str">
        <x:v>Johnson&amp;Johnson</x:v>
      </x:c>
      <x:c r="F745" s="17" t="str">
        <x:v>Alejandra López Salazar - indeterminado</x:v>
      </x:c>
      <x:c r="G745" s="17" t="str">
        <x:v>Concluído</x:v>
      </x:c>
      <x:c r="H745" s="17" t="str">
        <x:v>Pago</x:v>
      </x:c>
      <x:c r="I745" s="21" t="n">
        <x:v>576.42</x:v>
      </x:c>
    </x:row>
    <x:row r="746" ht="15" hidden="0" customHeight="1">
      <x:c r="A746" s="17" t="n">
        <x:v>746</x:v>
      </x:c>
      <x:c r="B746" s="17" t="str">
        <x:v>OP-1167</x:v>
      </x:c>
      <x:c r="C746" s="17" t="str">
        <x:v>OS-5179</x:v>
      </x:c>
      <x:c r="D746" s="17" t="str">
        <x:v>2026-05-25 06:15:00</x:v>
      </x:c>
      <x:c r="E746" s="17" t="str">
        <x:v>Johnson&amp;Johnson</x:v>
      </x:c>
      <x:c r="F746" s="17" t="str">
        <x:v>Cinthia Oliveira - +55 12 98179-1900</x:v>
      </x:c>
      <x:c r="G746" s="17" t="str">
        <x:v>Concluído</x:v>
      </x:c>
      <x:c r="H746" s="17" t="str">
        <x:v>Pago</x:v>
      </x:c>
      <x:c r="I746" s="21" t="n">
        <x:v>558.86</x:v>
      </x:c>
    </x:row>
    <x:row r="747" ht="48" hidden="0" customHeight="1">
      <x:c r="A747" s="17" t="n">
        <x:v>747</x:v>
      </x:c>
      <x:c r="B747" s="17" t="str">
        <x:v>OP-1163</x:v>
      </x:c>
      <x:c r="C747" s="17" t="str">
        <x:v>OS-5333</x:v>
      </x:c>
      <x:c r="D747" s="17" t="str">
        <x:v>2026-05-25 06:30:00</x:v>
      </x:c>
      <x:c r="E747" s="17" t="str">
        <x:v>Johnson&amp;Johnson</x:v>
      </x:c>
      <x:c r="F747" s="17" t="str">
        <x:v>JENNY CAROLINA CANO MONROY - +57 3002954794;
ELIZABETH CAMARGO RODRIGUEZ - +573137456076 / +573214104776;
ARACELI CASTILLO MERINO - +52 55 4192 0977;
DIANA CAROLINA SANTISTEBAN VILLAMONTE - +51997556342</x:v>
      </x:c>
      <x:c r="G747" s="17" t="str">
        <x:v>Concluído</x:v>
      </x:c>
      <x:c r="H747" s="17" t="str">
        <x:v>Pagamento Pendente</x:v>
      </x:c>
      <x:c r="I747" s="21" t="n">
        <x:v>173.51</x:v>
      </x:c>
    </x:row>
    <x:row r="748" ht="15" hidden="0" customHeight="1">
      <x:c r="A748" s="17" t="n">
        <x:v>748</x:v>
      </x:c>
      <x:c r="B748" s="17" t="str">
        <x:v>OP-1189</x:v>
      </x:c>
      <x:c r="C748" s="17" t="str">
        <x:v>OS-4758</x:v>
      </x:c>
      <x:c r="D748" s="17" t="str">
        <x:v>2026-05-25 06:45:00</x:v>
      </x:c>
      <x:c r="E748" s="17" t="str">
        <x:v>Johnson&amp;Johnson</x:v>
      </x:c>
      <x:c r="F748" s="17" t="str">
        <x:v>Gabriela Vanzo Lopes da Silva - +55 12 98828-6185</x:v>
      </x:c>
      <x:c r="G748" s="17" t="str">
        <x:v>Concluído</x:v>
      </x:c>
      <x:c r="H748" s="17" t="str">
        <x:v>Pago</x:v>
      </x:c>
      <x:c r="I748" s="21" t="n">
        <x:v>2195</x:v>
      </x:c>
    </x:row>
    <x:row r="749" ht="15" hidden="0" customHeight="1">
      <x:c r="A749" s="17" t="n">
        <x:v>749</x:v>
      </x:c>
      <x:c r="B749" s="17" t="str">
        <x:v>OP-1212</x:v>
      </x:c>
      <x:c r="C749" s="17" t="str">
        <x:v>OS-5525</x:v>
      </x:c>
      <x:c r="D749" s="17" t="str">
        <x:v>2026-05-25 07:00:00</x:v>
      </x:c>
      <x:c r="E749" s="17" t="str">
        <x:v>Kenvue</x:v>
      </x:c>
      <x:c r="F749" s="17" t="str">
        <x:v>Meri Stevens - indeterminado</x:v>
      </x:c>
      <x:c r="G749" s="17" t="str">
        <x:v>Concluído</x:v>
      </x:c>
      <x:c r="H749" s="17" t="str">
        <x:v>Pago</x:v>
      </x:c>
      <x:c r="I749" s="21" t="n">
        <x:v>4852.91</x:v>
      </x:c>
    </x:row>
    <x:row r="750" ht="24" hidden="0" customHeight="1">
      <x:c r="A750" s="17" t="n">
        <x:v>750</x:v>
      </x:c>
      <x:c r="B750" s="17" t="str">
        <x:v>OP-1189</x:v>
      </x:c>
      <x:c r="C750" s="17" t="str">
        <x:v>OS-4754</x:v>
      </x:c>
      <x:c r="D750" s="17" t="str">
        <x:v>2026-05-25 07:00:00</x:v>
      </x:c>
      <x:c r="E750" s="17" t="str">
        <x:v>Johnson&amp;Johnson</x:v>
      </x:c>
      <x:c r="F750" s="17" t="str">
        <x:v>Geissy Macedo Santos - 11953813692;
Uyara Camargo - 19 997346757</x:v>
      </x:c>
      <x:c r="G750" s="17" t="str">
        <x:v>Concluído</x:v>
      </x:c>
      <x:c r="H750" s="17" t="str">
        <x:v>Pago</x:v>
      </x:c>
      <x:c r="I750" s="21" t="n">
        <x:v>1891.89</x:v>
      </x:c>
    </x:row>
    <x:row r="751" ht="36" hidden="0" customHeight="1">
      <x:c r="A751" s="17" t="n">
        <x:v>751</x:v>
      </x:c>
      <x:c r="B751" s="17" t="str">
        <x:v>OP-1201</x:v>
      </x:c>
      <x:c r="C751" s="17" t="str">
        <x:v>OS-5371</x:v>
      </x:c>
      <x:c r="D751" s="17" t="str">
        <x:v>2026-05-25 08:30:00</x:v>
      </x:c>
      <x:c r="E751" s="17" t="str">
        <x:v>Johnson&amp;Johnson</x:v>
      </x:c>
      <x:c r="F751" s="17" t="str">
        <x:v>Felipe Barreto - indeterminado;
Diana Rubinstein - indeterminado;
Karin Van Laethem - indeterminado</x:v>
      </x:c>
      <x:c r="G751" s="17" t="str">
        <x:v>Concluído</x:v>
      </x:c>
      <x:c r="H751" s="17" t="str">
        <x:v>Pago</x:v>
      </x:c>
      <x:c r="I751" s="21" t="n">
        <x:v>173.51</x:v>
      </x:c>
    </x:row>
    <x:row r="752" ht="36" hidden="0" customHeight="1">
      <x:c r="A752" s="17" t="n">
        <x:v>752</x:v>
      </x:c>
      <x:c r="B752" s="17" t="str">
        <x:v>OP-1201</x:v>
      </x:c>
      <x:c r="C752" s="17" t="str">
        <x:v>OS-5381</x:v>
      </x:c>
      <x:c r="D752" s="17" t="str">
        <x:v>2026-05-25 08:30:00</x:v>
      </x:c>
      <x:c r="E752" s="17" t="str">
        <x:v>Johnson&amp;Johnson</x:v>
      </x:c>
      <x:c r="F752" s="17" t="str">
        <x:v>Jordy Dhondt - indeterminado;
Mayra Alves - indeterminado;
Melisa Noble - indeterminado</x:v>
      </x:c>
      <x:c r="G752" s="17" t="str">
        <x:v>Concluído</x:v>
      </x:c>
      <x:c r="H752" s="17" t="str">
        <x:v>Pago</x:v>
      </x:c>
      <x:c r="I752" s="21" t="n">
        <x:v>160.51</x:v>
      </x:c>
    </x:row>
    <x:row r="753" ht="15" hidden="0" customHeight="1">
      <x:c r="A753" s="17" t="n">
        <x:v>753</x:v>
      </x:c>
      <x:c r="B753" s="17" t="str">
        <x:v>OP-1187</x:v>
      </x:c>
      <x:c r="C753" s="17" t="str">
        <x:v>OS-5530</x:v>
      </x:c>
      <x:c r="D753" s="17" t="str">
        <x:v>2026-05-25 08:30:00</x:v>
      </x:c>
      <x:c r="E753" s="17" t="str">
        <x:v>Johnson&amp;Johnson</x:v>
      </x:c>
      <x:c r="F753" s="17" t="str">
        <x:v>Alberto Cardoso - +55 12 99629-4747</x:v>
      </x:c>
      <x:c r="G753" s="17" t="str">
        <x:v>Concluído</x:v>
      </x:c>
      <x:c r="H753" s="17" t="str">
        <x:v>Pago</x:v>
      </x:c>
      <x:c r="I753" s="21" t="n">
        <x:v>139.58</x:v>
      </x:c>
    </x:row>
    <x:row r="754" ht="15" hidden="0" customHeight="1">
      <x:c r="A754" s="17" t="n">
        <x:v>754</x:v>
      </x:c>
      <x:c r="B754" s="17" t="str">
        <x:v>OP-1170</x:v>
      </x:c>
      <x:c r="C754" s="17" t="str">
        <x:v>OS-5543</x:v>
      </x:c>
      <x:c r="D754" s="17" t="str">
        <x:v>2026-05-25 08:50:00</x:v>
      </x:c>
      <x:c r="E754" s="17" t="str">
        <x:v>Johnson&amp;Johnson</x:v>
      </x:c>
      <x:c r="F754" s="17" t="str">
        <x:v>Patricia Kavan - indeterminado</x:v>
      </x:c>
      <x:c r="G754" s="17" t="str">
        <x:v>Concluído</x:v>
      </x:c>
      <x:c r="H754" s="17" t="str">
        <x:v>Pago</x:v>
      </x:c>
      <x:c r="I754" s="21" t="n">
        <x:v>576.42</x:v>
      </x:c>
    </x:row>
    <x:row r="755" ht="15" hidden="0" customHeight="1">
      <x:c r="A755" s="17" t="n">
        <x:v>755</x:v>
      </x:c>
      <x:c r="B755" s="17" t="str">
        <x:v>OP-1169</x:v>
      </x:c>
      <x:c r="C755" s="17" t="str">
        <x:v>OS-5040</x:v>
      </x:c>
      <x:c r="D755" s="17" t="str">
        <x:v>2026-05-25 09:30:00</x:v>
      </x:c>
      <x:c r="E755" s="17" t="str">
        <x:v>Boeing</x:v>
      </x:c>
      <x:c r="F755" s="17" t="str">
        <x:v>Gustavo Pasqual - 12 988926741</x:v>
      </x:c>
      <x:c r="G755" s="17" t="str">
        <x:v>Concluído</x:v>
      </x:c>
      <x:c r="H755" s="17" t="str">
        <x:v>Pago</x:v>
      </x:c>
      <x:c r="I755" s="21" t="n">
        <x:v>463.05</x:v>
      </x:c>
    </x:row>
    <x:row r="756" ht="15" hidden="0" customHeight="1">
      <x:c r="A756" s="17" t="n">
        <x:v>756</x:v>
      </x:c>
      <x:c r="B756" s="17" t="str">
        <x:v>OP-1260</x:v>
      </x:c>
      <x:c r="C756" s="17" t="str">
        <x:v>OS-5540</x:v>
      </x:c>
      <x:c r="D756" s="17" t="str">
        <x:v>2026-05-25 11:30:00</x:v>
      </x:c>
      <x:c r="E756" s="17" t="str">
        <x:v>Latasa Recicla BR</x:v>
      </x:c>
      <x:c r="F756" s="17" t="str">
        <x:v>FELIPE CARDOSO DA CONCEICAO ALVES - 12 98126-5394</x:v>
      </x:c>
      <x:c r="G756" s="17" t="str">
        <x:v>Concluído</x:v>
      </x:c>
      <x:c r="H756" s="17" t="str">
        <x:v>Composição Realizada</x:v>
      </x:c>
      <x:c r="I756" s="21" t="n">
        <x:v>85</x:v>
      </x:c>
    </x:row>
    <x:row r="757" ht="15" hidden="0" customHeight="1">
      <x:c r="A757" s="17" t="n">
        <x:v>757</x:v>
      </x:c>
      <x:c r="B757" s="17" t="str">
        <x:v>OP-1170</x:v>
      </x:c>
      <x:c r="C757" s="17" t="str">
        <x:v>OS-5541</x:v>
      </x:c>
      <x:c r="D757" s="17" t="str">
        <x:v>2026-05-25 11:30:00</x:v>
      </x:c>
      <x:c r="E757" s="17" t="str">
        <x:v>Johnson&amp;Johnson</x:v>
      </x:c>
      <x:c r="F757" s="17" t="str">
        <x:v>Patricia Kavan - indeterminado</x:v>
      </x:c>
      <x:c r="G757" s="17" t="str">
        <x:v>Concluído</x:v>
      </x:c>
      <x:c r="H757" s="17" t="str">
        <x:v>Pago</x:v>
      </x:c>
      <x:c r="I757" s="21" t="n">
        <x:v>173.51</x:v>
      </x:c>
    </x:row>
    <x:row r="758" ht="15" hidden="0" customHeight="1">
      <x:c r="A758" s="17" t="n">
        <x:v>758</x:v>
      </x:c>
      <x:c r="B758" s="17" t="str">
        <x:v>OP-1260</x:v>
      </x:c>
      <x:c r="C758" s="17" t="str">
        <x:v>OS-5448</x:v>
      </x:c>
      <x:c r="D758" s="17" t="str">
        <x:v>2026-05-25 13:30:00</x:v>
      </x:c>
      <x:c r="E758" s="17" t="str">
        <x:v>Latasa Recicla BR</x:v>
      </x:c>
      <x:c r="F758" s="17" t="str">
        <x:v>Tiago Henrique Santos Xavier - (12) 99142-8629</x:v>
      </x:c>
      <x:c r="G758" s="17" t="str">
        <x:v>Concluído</x:v>
      </x:c>
      <x:c r="H758" s="17" t="str">
        <x:v>Composição Realizada</x:v>
      </x:c>
      <x:c r="I758" s="21" t="n">
        <x:v>315</x:v>
      </x:c>
    </x:row>
    <x:row r="759" ht="15" hidden="0" customHeight="1">
      <x:c r="A759" s="17" t="n">
        <x:v>759</x:v>
      </x:c>
      <x:c r="B759" s="17" t="str">
        <x:v>OP-1187</x:v>
      </x:c>
      <x:c r="C759" s="17" t="str">
        <x:v>OS-5537</x:v>
      </x:c>
      <x:c r="D759" s="17" t="str">
        <x:v>2026-05-25 15:00:00</x:v>
      </x:c>
      <x:c r="E759" s="17" t="str">
        <x:v>Johnson&amp;Johnson</x:v>
      </x:c>
      <x:c r="F759" s="17" t="str">
        <x:v>Alberto Cardoso - +55 12 99629-4747</x:v>
      </x:c>
      <x:c r="G759" s="17" t="str">
        <x:v>Concluído</x:v>
      </x:c>
      <x:c r="H759" s="17" t="str">
        <x:v>Pago</x:v>
      </x:c>
      <x:c r="I759" s="21" t="n">
        <x:v>139.58</x:v>
      </x:c>
    </x:row>
    <x:row r="760" ht="15" hidden="0" customHeight="1">
      <x:c r="A760" s="17" t="n">
        <x:v>760</x:v>
      </x:c>
      <x:c r="B760" s="17" t="str">
        <x:v>OP-1170</x:v>
      </x:c>
      <x:c r="C760" s="17" t="str">
        <x:v>OS-5542</x:v>
      </x:c>
      <x:c r="D760" s="17" t="str">
        <x:v>2026-05-25 16:00:00</x:v>
      </x:c>
      <x:c r="E760" s="17" t="str">
        <x:v>Johnson&amp;Johnson</x:v>
      </x:c>
      <x:c r="F760" s="17" t="str">
        <x:v>Patricia Kavan - indeterminado</x:v>
      </x:c>
      <x:c r="G760" s="17" t="str">
        <x:v>Concluído</x:v>
      </x:c>
      <x:c r="H760" s="17" t="str">
        <x:v>Pago</x:v>
      </x:c>
      <x:c r="I760" s="21" t="n">
        <x:v>160.51</x:v>
      </x:c>
    </x:row>
    <x:row r="761" ht="36" hidden="0" customHeight="1">
      <x:c r="A761" s="17" t="n">
        <x:v>761</x:v>
      </x:c>
      <x:c r="B761" s="17" t="str">
        <x:v>OP-1201</x:v>
      </x:c>
      <x:c r="C761" s="17" t="str">
        <x:v>OS-5380</x:v>
      </x:c>
      <x:c r="D761" s="17" t="str">
        <x:v>2026-05-25 17:30:00</x:v>
      </x:c>
      <x:c r="E761" s="17" t="str">
        <x:v>Johnson&amp;Johnson</x:v>
      </x:c>
      <x:c r="F761" s="17" t="str">
        <x:v>Felipe Barreto - indeterminado;
Diana Rubinstein - indeterminado;
Karin Van Laethem - indeterminado</x:v>
      </x:c>
      <x:c r="G761" s="17" t="str">
        <x:v>Concluído</x:v>
      </x:c>
      <x:c r="H761" s="17" t="str">
        <x:v>Pago</x:v>
      </x:c>
      <x:c r="I761" s="21" t="n">
        <x:v>173.51</x:v>
      </x:c>
    </x:row>
    <x:row r="762" ht="36" hidden="0" customHeight="1">
      <x:c r="A762" s="17" t="n">
        <x:v>762</x:v>
      </x:c>
      <x:c r="B762" s="17" t="str">
        <x:v>OP-1201</x:v>
      </x:c>
      <x:c r="C762" s="17" t="str">
        <x:v>OS-5390</x:v>
      </x:c>
      <x:c r="D762" s="17" t="str">
        <x:v>2026-05-25 17:30:00</x:v>
      </x:c>
      <x:c r="E762" s="17" t="str">
        <x:v>Johnson&amp;Johnson</x:v>
      </x:c>
      <x:c r="F762" s="17" t="str">
        <x:v>Jordy Dhondt - indeterminado;
Mayra Alves - indeterminado;
Melisa Noble - indeterminado</x:v>
      </x:c>
      <x:c r="G762" s="17" t="str">
        <x:v>Concluído</x:v>
      </x:c>
      <x:c r="H762" s="17" t="str">
        <x:v>Pago</x:v>
      </x:c>
      <x:c r="I762" s="21" t="n">
        <x:v>160.51</x:v>
      </x:c>
    </x:row>
    <x:row r="763" ht="15" hidden="0" customHeight="1">
      <x:c r="A763" s="17" t="n">
        <x:v>763</x:v>
      </x:c>
      <x:c r="B763" s="17" t="str">
        <x:v>OP-1199</x:v>
      </x:c>
      <x:c r="C763" s="17" t="str">
        <x:v>OS-5437</x:v>
      </x:c>
      <x:c r="D763" s="17" t="str">
        <x:v>2026-05-26 05:25:00</x:v>
      </x:c>
      <x:c r="E763" s="17" t="str">
        <x:v>Johnson&amp;Johnson</x:v>
      </x:c>
      <x:c r="F763" s="17" t="str">
        <x:v>Oscar Montes - indeterminado</x:v>
      </x:c>
      <x:c r="G763" s="17" t="str">
        <x:v>Concluído</x:v>
      </x:c>
      <x:c r="H763" s="17" t="str">
        <x:v>Pago</x:v>
      </x:c>
      <x:c r="I763" s="21" t="n">
        <x:v>576.42</x:v>
      </x:c>
    </x:row>
    <x:row r="764" ht="15" hidden="0" customHeight="1">
      <x:c r="A764" s="17" t="n">
        <x:v>764</x:v>
      </x:c>
      <x:c r="B764" s="17" t="str">
        <x:v>OP-1179</x:v>
      </x:c>
      <x:c r="C764" s="17" t="str">
        <x:v>OS-5545</x:v>
      </x:c>
      <x:c r="D764" s="17" t="str">
        <x:v>2026-05-26 05:30:00</x:v>
      </x:c>
      <x:c r="E764" s="17" t="str">
        <x:v>Johnson&amp;Johnson</x:v>
      </x:c>
      <x:c r="F764" s="17" t="str">
        <x:v>Marina Marinho S. Cardoso - +55 31 9163-2551 / +55 (12) 99137-2699 </x:v>
      </x:c>
      <x:c r="G764" s="17" t="str">
        <x:v>Concluído</x:v>
      </x:c>
      <x:c r="H764" s="17" t="str">
        <x:v>Pago</x:v>
      </x:c>
      <x:c r="I764" s="21" t="n">
        <x:v>1299.29</x:v>
      </x:c>
    </x:row>
    <x:row r="765" ht="15" hidden="0" customHeight="1">
      <x:c r="A765" s="17" t="n">
        <x:v>765</x:v>
      </x:c>
      <x:c r="B765" s="17" t="str">
        <x:v>OP-1191</x:v>
      </x:c>
      <x:c r="C765" s="17" t="str">
        <x:v>OS-5183</x:v>
      </x:c>
      <x:c r="D765" s="17" t="str">
        <x:v>2026-05-26 06:20:00</x:v>
      </x:c>
      <x:c r="E765" s="17" t="str">
        <x:v>Kenvue</x:v>
      </x:c>
      <x:c r="F765" s="17" t="str">
        <x:v>Bianca Orsini - 12988459751</x:v>
      </x:c>
      <x:c r="G765" s="17" t="str">
        <x:v>Concluído</x:v>
      </x:c>
      <x:c r="H765" s="17" t="str">
        <x:v>Pago</x:v>
      </x:c>
      <x:c r="I765" s="21" t="n">
        <x:v>2651.03</x:v>
      </x:c>
    </x:row>
    <x:row r="766" ht="15" hidden="0" customHeight="1">
      <x:c r="A766" s="17" t="n">
        <x:v>766</x:v>
      </x:c>
      <x:c r="B766" s="17" t="str">
        <x:v>OP-1212</x:v>
      </x:c>
      <x:c r="C766" s="17" t="str">
        <x:v>OS-5526</x:v>
      </x:c>
      <x:c r="D766" s="17" t="str">
        <x:v>2026-05-26 07:00:00</x:v>
      </x:c>
      <x:c r="E766" s="17" t="str">
        <x:v>Kenvue</x:v>
      </x:c>
      <x:c r="F766" s="17" t="str">
        <x:v>Meri Stevens - indeterminado</x:v>
      </x:c>
      <x:c r="G766" s="17" t="str">
        <x:v>Concluído</x:v>
      </x:c>
      <x:c r="H766" s="17" t="str">
        <x:v>Pago</x:v>
      </x:c>
      <x:c r="I766" s="21" t="n">
        <x:v>1878.77</x:v>
      </x:c>
    </x:row>
    <x:row r="767" ht="15" hidden="0" customHeight="1">
      <x:c r="A767" s="17" t="n">
        <x:v>767</x:v>
      </x:c>
      <x:c r="B767" s="17" t="str">
        <x:v>OP-1190</x:v>
      </x:c>
      <x:c r="C767" s="17" t="str">
        <x:v>OS-5427</x:v>
      </x:c>
      <x:c r="D767" s="17" t="str">
        <x:v>2026-05-26 07:40:00</x:v>
      </x:c>
      <x:c r="E767" s="17" t="str">
        <x:v>Johnson&amp;Johnson</x:v>
      </x:c>
      <x:c r="F767" s="17" t="str">
        <x:v>Simone Moraes - +55 12 99792-7309</x:v>
      </x:c>
      <x:c r="G767" s="17" t="str">
        <x:v>Concluído</x:v>
      </x:c>
      <x:c r="H767" s="17" t="str">
        <x:v>Pago</x:v>
      </x:c>
      <x:c r="I767" s="21" t="n">
        <x:v>475</x:v>
      </x:c>
    </x:row>
    <x:row r="768" ht="36" hidden="0" customHeight="1">
      <x:c r="A768" s="17" t="n">
        <x:v>768</x:v>
      </x:c>
      <x:c r="B768" s="17" t="str">
        <x:v>OP-1201</x:v>
      </x:c>
      <x:c r="C768" s="17" t="str">
        <x:v>OS-5372</x:v>
      </x:c>
      <x:c r="D768" s="17" t="str">
        <x:v>2026-05-26 08:30:00</x:v>
      </x:c>
      <x:c r="E768" s="17" t="str">
        <x:v>Johnson&amp;Johnson</x:v>
      </x:c>
      <x:c r="F768" s="17" t="str">
        <x:v>Felipe Barreto - indeterminado;
Diana Rubinstein - indeterminado;
Karin Van Laethem - indeterminado</x:v>
      </x:c>
      <x:c r="G768" s="17" t="str">
        <x:v>Concluído</x:v>
      </x:c>
      <x:c r="H768" s="17" t="str">
        <x:v>Pago</x:v>
      </x:c>
      <x:c r="I768" s="21" t="n">
        <x:v>173.51</x:v>
      </x:c>
    </x:row>
    <x:row r="769" ht="36" hidden="0" customHeight="1">
      <x:c r="A769" s="17" t="n">
        <x:v>769</x:v>
      </x:c>
      <x:c r="B769" s="17" t="str">
        <x:v>OP-1201</x:v>
      </x:c>
      <x:c r="C769" s="17" t="str">
        <x:v>OS-5382</x:v>
      </x:c>
      <x:c r="D769" s="17" t="str">
        <x:v>2026-05-26 08:30:00</x:v>
      </x:c>
      <x:c r="E769" s="17" t="str">
        <x:v>Johnson&amp;Johnson</x:v>
      </x:c>
      <x:c r="F769" s="17" t="str">
        <x:v>Jordy Dhondt - indeterminado;
Mayra Alves - indeterminado;
Melisa Noble - indeterminado</x:v>
      </x:c>
      <x:c r="G769" s="17" t="str">
        <x:v>Concluído</x:v>
      </x:c>
      <x:c r="H769" s="17" t="str">
        <x:v>Pago</x:v>
      </x:c>
      <x:c r="I769" s="21" t="n">
        <x:v>160.51</x:v>
      </x:c>
    </x:row>
    <x:row r="770" ht="15" hidden="0" customHeight="1">
      <x:c r="A770" s="17" t="n">
        <x:v>770</x:v>
      </x:c>
      <x:c r="B770" s="17" t="str">
        <x:v>OP-1187</x:v>
      </x:c>
      <x:c r="C770" s="17" t="str">
        <x:v>OS-5531</x:v>
      </x:c>
      <x:c r="D770" s="17" t="str">
        <x:v>2026-05-26 08:30:00</x:v>
      </x:c>
      <x:c r="E770" s="17" t="str">
        <x:v>Johnson&amp;Johnson</x:v>
      </x:c>
      <x:c r="F770" s="17" t="str">
        <x:v>Alberto Cardoso - +55 12 99629-4747</x:v>
      </x:c>
      <x:c r="G770" s="17" t="str">
        <x:v>Concluído</x:v>
      </x:c>
      <x:c r="H770" s="17" t="str">
        <x:v>Pago</x:v>
      </x:c>
      <x:c r="I770" s="21" t="n">
        <x:v>139.58</x:v>
      </x:c>
    </x:row>
    <x:row r="771" ht="15" hidden="0" customHeight="1">
      <x:c r="A771" s="17" t="n">
        <x:v>771</x:v>
      </x:c>
      <x:c r="B771" s="17" t="str">
        <x:v>OP-1212</x:v>
      </x:c>
      <x:c r="C771" s="17" t="str">
        <x:v>OS-5421</x:v>
      </x:c>
      <x:c r="D771" s="17" t="str">
        <x:v>2026-05-26 09:00:00</x:v>
      </x:c>
      <x:c r="E771" s="17" t="str">
        <x:v>Kenvue</x:v>
      </x:c>
      <x:c r="F771" s="17" t="str">
        <x:v>Adriana Lopes de Souza Silva - 12997236961</x:v>
      </x:c>
      <x:c r="G771" s="17" t="str">
        <x:v>Concluído</x:v>
      </x:c>
      <x:c r="H771" s="17" t="str">
        <x:v>Pago</x:v>
      </x:c>
      <x:c r="I771" s="21" t="n">
        <x:v>1503.3</x:v>
      </x:c>
    </x:row>
    <x:row r="772" ht="15" hidden="0" customHeight="1">
      <x:c r="A772" s="17" t="n">
        <x:v>772</x:v>
      </x:c>
      <x:c r="B772" s="17" t="str">
        <x:v>OP-1214</x:v>
      </x:c>
      <x:c r="C772" s="17" t="str">
        <x:v>OS-5501</x:v>
      </x:c>
      <x:c r="D772" s="17" t="str">
        <x:v>2026-05-26 10:30:00</x:v>
      </x:c>
      <x:c r="E772" s="17" t="str">
        <x:v>Tenaris</x:v>
      </x:c>
      <x:c r="F772" s="17" t="str">
        <x:v>Allan McAllister - +44 7795 461469</x:v>
      </x:c>
      <x:c r="G772" s="17" t="str">
        <x:v>Concluído</x:v>
      </x:c>
      <x:c r="H772" s="17" t="str">
        <x:v>Pago</x:v>
      </x:c>
      <x:c r="I772" s="21" t="n">
        <x:v>615.33</x:v>
      </x:c>
    </x:row>
    <x:row r="773" ht="48" hidden="0" customHeight="1">
      <x:c r="A773" s="17" t="n">
        <x:v>773</x:v>
      </x:c>
      <x:c r="B773" s="17" t="str">
        <x:v>OP-1260</x:v>
      </x:c>
      <x:c r="C773" s="17" t="str">
        <x:v>OS-5575</x:v>
      </x:c>
      <x:c r="D773" s="17" t="str">
        <x:v>2026-05-26 11:00:00</x:v>
      </x:c>
      <x:c r="E773" s="17" t="str">
        <x:v>Latasa Recicla BR</x:v>
      </x:c>
      <x:c r="F773" s="17" t="str">
        <x:v>Elton Luis de Oliveira Bueno - 992060418;
FELIPE CARDOSO DA CONCEICAO ALVES - 12 98126-5394;
Nicolas Silva - 992296902;
Lauro Cristiano Antunes - 982095881</x:v>
      </x:c>
      <x:c r="G773" s="17" t="str">
        <x:v>Concluído</x:v>
      </x:c>
      <x:c r="H773" s="17" t="str">
        <x:v>Composição Realizada</x:v>
      </x:c>
      <x:c r="I773" s="21" t="n">
        <x:v>85</x:v>
      </x:c>
    </x:row>
    <x:row r="774" ht="48" hidden="0" customHeight="1">
      <x:c r="A774" s="17" t="n">
        <x:v>774</x:v>
      </x:c>
      <x:c r="B774" s="17" t="str">
        <x:v>OP-1260</x:v>
      </x:c>
      <x:c r="C774" s="17" t="str">
        <x:v>OS-5576</x:v>
      </x:c>
      <x:c r="D774" s="17" t="str">
        <x:v>2026-05-26 11:00:00</x:v>
      </x:c>
      <x:c r="E774" s="17" t="str">
        <x:v>Latasa Recicla BR</x:v>
      </x:c>
      <x:c r="F774" s="17" t="str">
        <x:v>Elton Luis de Oliveira Bueno - 992060418;
FELIPE CARDOSO DA CONCEICAO ALVES - 12 98126-5394;
Nicolas Silva - 992296902;
Lauro Cristiano Antunes - 982095881</x:v>
      </x:c>
      <x:c r="G774" s="17" t="str">
        <x:v>Concluído</x:v>
      </x:c>
      <x:c r="H774" s="17" t="str">
        <x:v>Composição Realizada</x:v>
      </x:c>
      <x:c r="I774" s="21" t="n">
        <x:v>85</x:v>
      </x:c>
    </x:row>
    <x:row r="775" ht="15" hidden="0" customHeight="1">
      <x:c r="A775" s="17" t="n">
        <x:v>775</x:v>
      </x:c>
      <x:c r="B775" s="17" t="str">
        <x:v>OP-1170</x:v>
      </x:c>
      <x:c r="C775" s="17" t="str">
        <x:v>OS-5544</x:v>
      </x:c>
      <x:c r="D775" s="17" t="str">
        <x:v>2026-05-26 13:00:00</x:v>
      </x:c>
      <x:c r="E775" s="17" t="str">
        <x:v>Johnson&amp;Johnson</x:v>
      </x:c>
      <x:c r="F775" s="17" t="str">
        <x:v>Patricia Kavan - indeterminado</x:v>
      </x:c>
      <x:c r="G775" s="17" t="str">
        <x:v>Cancelado com Ressalvas</x:v>
      </x:c>
      <x:c r="H775" s="17" t="str">
        <x:v>Cancelado Sem Taxa</x:v>
      </x:c>
      <x:c r="I775" s="21" t="n">
        <x:v>0</x:v>
      </x:c>
    </x:row>
    <x:row r="776" ht="15" hidden="0" customHeight="1">
      <x:c r="A776" s="17" t="n">
        <x:v>776</x:v>
      </x:c>
      <x:c r="B776" s="17" t="str">
        <x:v>OP-1260</x:v>
      </x:c>
      <x:c r="C776" s="17" t="str">
        <x:v>OS-5566</x:v>
      </x:c>
      <x:c r="D776" s="17" t="str">
        <x:v>2026-05-26 13:30:00</x:v>
      </x:c>
      <x:c r="E776" s="17" t="str">
        <x:v>Latasa Recicla BR</x:v>
      </x:c>
      <x:c r="F776" s="17" t="str">
        <x:v>Tiago Henrique Santos Xavier - (12) 99142-8629</x:v>
      </x:c>
      <x:c r="G776" s="17" t="str">
        <x:v>Concluído</x:v>
      </x:c>
      <x:c r="H776" s="17" t="str">
        <x:v>Composição Realizada</x:v>
      </x:c>
      <x:c r="I776" s="21" t="n">
        <x:v>85</x:v>
      </x:c>
    </x:row>
    <x:row r="777" ht="15" hidden="0" customHeight="1">
      <x:c r="A777" s="17" t="n">
        <x:v>777</x:v>
      </x:c>
      <x:c r="B777" s="17" t="str">
        <x:v>OP-1187</x:v>
      </x:c>
      <x:c r="C777" s="17" t="str">
        <x:v>OS-5573</x:v>
      </x:c>
      <x:c r="D777" s="17" t="str">
        <x:v>2026-05-26 15:20:00</x:v>
      </x:c>
      <x:c r="E777" s="17" t="str">
        <x:v>Johnson&amp;Johnson</x:v>
      </x:c>
      <x:c r="F777" s="17" t="str">
        <x:v>Alberto Cardoso - +55 12 99629-4747</x:v>
      </x:c>
      <x:c r="G777" s="17" t="str">
        <x:v>Concluído</x:v>
      </x:c>
      <x:c r="H777" s="17" t="str">
        <x:v>Pago</x:v>
      </x:c>
      <x:c r="I777" s="21" t="n">
        <x:v>139.58</x:v>
      </x:c>
    </x:row>
    <x:row r="778" ht="36" hidden="0" customHeight="1">
      <x:c r="A778" s="17" t="n">
        <x:v>778</x:v>
      </x:c>
      <x:c r="B778" s="17" t="str">
        <x:v>OP-1201</x:v>
      </x:c>
      <x:c r="C778" s="17" t="str">
        <x:v>OS-5376</x:v>
      </x:c>
      <x:c r="D778" s="17" t="str">
        <x:v>2026-05-26 17:30:00</x:v>
      </x:c>
      <x:c r="E778" s="17" t="str">
        <x:v>Johnson&amp;Johnson</x:v>
      </x:c>
      <x:c r="F778" s="17" t="str">
        <x:v>Felipe Barreto - indeterminado;
Diana Rubinstein - indeterminado;
Karin Van Laethem - indeterminado</x:v>
      </x:c>
      <x:c r="G778" s="17" t="str">
        <x:v>Concluído</x:v>
      </x:c>
      <x:c r="H778" s="17" t="str">
        <x:v>Pago</x:v>
      </x:c>
      <x:c r="I778" s="21" t="n">
        <x:v>160.51</x:v>
      </x:c>
    </x:row>
    <x:row r="779" ht="36" hidden="0" customHeight="1">
      <x:c r="A779" s="17" t="n">
        <x:v>779</x:v>
      </x:c>
      <x:c r="B779" s="17" t="str">
        <x:v>OP-1201</x:v>
      </x:c>
      <x:c r="C779" s="17" t="str">
        <x:v>OS-5386</x:v>
      </x:c>
      <x:c r="D779" s="17" t="str">
        <x:v>2026-05-26 17:30:00</x:v>
      </x:c>
      <x:c r="E779" s="17" t="str">
        <x:v>Johnson&amp;Johnson</x:v>
      </x:c>
      <x:c r="F779" s="17" t="str">
        <x:v>Jordy Dhondt - indeterminado;
Mayra Alves - indeterminado;
Melisa Noble - indeterminado</x:v>
      </x:c>
      <x:c r="G779" s="17" t="str">
        <x:v>Concluído</x:v>
      </x:c>
      <x:c r="H779" s="17" t="str">
        <x:v>Pago</x:v>
      </x:c>
      <x:c r="I779" s="21" t="n">
        <x:v>160.51</x:v>
      </x:c>
    </x:row>
    <x:row r="780" ht="15" hidden="0" customHeight="1">
      <x:c r="A780" s="17" t="n">
        <x:v>780</x:v>
      </x:c>
      <x:c r="B780" s="17" t="str">
        <x:v>OP-1181</x:v>
      </x:c>
      <x:c r="C780" s="17" t="str">
        <x:v>OS-5596</x:v>
      </x:c>
      <x:c r="D780" s="17" t="str">
        <x:v>2026-05-27 05:00:00</x:v>
      </x:c>
      <x:c r="E780" s="17" t="str">
        <x:v>Johnson&amp;Johnson</x:v>
      </x:c>
      <x:c r="F780" s="17" t="str">
        <x:v>Vanessa Lima - ‪+55 12 98819‑0703‬</x:v>
      </x:c>
      <x:c r="G780" s="17" t="str">
        <x:v>Concluído</x:v>
      </x:c>
      <x:c r="H780" s="17" t="str">
        <x:v>Pago</x:v>
      </x:c>
      <x:c r="I780" s="21" t="n">
        <x:v>669.37</x:v>
      </x:c>
    </x:row>
    <x:row r="781" ht="15" hidden="0" customHeight="1">
      <x:c r="A781" s="17" t="n">
        <x:v>781</x:v>
      </x:c>
      <x:c r="B781" s="17" t="str">
        <x:v>OP-1183</x:v>
      </x:c>
      <x:c r="C781" s="17" t="str">
        <x:v>OS-5548</x:v>
      </x:c>
      <x:c r="D781" s="17" t="str">
        <x:v>2026-05-27 05:30:00</x:v>
      </x:c>
      <x:c r="E781" s="17" t="str">
        <x:v>Boeing</x:v>
      </x:c>
      <x:c r="F781" s="17" t="str">
        <x:v>Rafael Henrique Garcia - 19 99598 4276</x:v>
      </x:c>
      <x:c r="G781" s="17" t="str">
        <x:v>Concluído</x:v>
      </x:c>
      <x:c r="H781" s="17" t="str">
        <x:v>Pago</x:v>
      </x:c>
      <x:c r="I781" s="21" t="n">
        <x:v>779.15</x:v>
      </x:c>
    </x:row>
    <x:row r="782" ht="15" hidden="0" customHeight="1">
      <x:c r="A782" s="17" t="n">
        <x:v>782</x:v>
      </x:c>
      <x:c r="B782" s="17" t="str">
        <x:v>OP-1188</x:v>
      </x:c>
      <x:c r="C782" s="17" t="str">
        <x:v>OS-5563</x:v>
      </x:c>
      <x:c r="D782" s="17" t="str">
        <x:v>2026-05-27 06:45:00</x:v>
      </x:c>
      <x:c r="E782" s="17" t="str">
        <x:v>Kenvue</x:v>
      </x:c>
      <x:c r="F782" s="17" t="str">
        <x:v>Sushil Iyer - indeterminado</x:v>
      </x:c>
      <x:c r="G782" s="17" t="str">
        <x:v>Concluído</x:v>
      </x:c>
      <x:c r="H782" s="17" t="str">
        <x:v>Pago</x:v>
      </x:c>
      <x:c r="I782" s="21" t="n">
        <x:v>1438.36</x:v>
      </x:c>
    </x:row>
    <x:row r="783" ht="15" hidden="0" customHeight="1">
      <x:c r="A783" s="17" t="n">
        <x:v>783</x:v>
      </x:c>
      <x:c r="B783" s="17" t="str">
        <x:v>OP-1173</x:v>
      </x:c>
      <x:c r="C783" s="17" t="str">
        <x:v>OS-5471</x:v>
      </x:c>
      <x:c r="D783" s="17" t="str">
        <x:v>2026-05-27 07:00:00</x:v>
      </x:c>
      <x:c r="E783" s="17" t="str">
        <x:v>Johnson&amp;Johnson</x:v>
      </x:c>
      <x:c r="F783" s="17" t="str">
        <x:v>Plínio Eugenio Meireles - 988792434</x:v>
      </x:c>
      <x:c r="G783" s="17" t="str">
        <x:v>Concluído</x:v>
      </x:c>
      <x:c r="H783" s="17" t="str">
        <x:v>Pago</x:v>
      </x:c>
      <x:c r="I783" s="21" t="n">
        <x:v>959.89</x:v>
      </x:c>
    </x:row>
    <x:row r="784" ht="15" hidden="0" customHeight="1">
      <x:c r="A784" s="17" t="n">
        <x:v>784</x:v>
      </x:c>
      <x:c r="B784" s="17" t="str">
        <x:v>OP-1252</x:v>
      </x:c>
      <x:c r="C784" s="17" t="str">
        <x:v>OS-5546</x:v>
      </x:c>
      <x:c r="D784" s="17" t="str">
        <x:v>2026-05-27 08:00:00</x:v>
      </x:c>
      <x:c r="E784" s="17" t="str">
        <x:v>Tenaris</x:v>
      </x:c>
      <x:c r="F784" s="17" t="str">
        <x:v>Jonathas Eric Santana Dos Santos - (12) 99617-0938</x:v>
      </x:c>
      <x:c r="G784" s="17" t="str">
        <x:v>Concluído</x:v>
      </x:c>
      <x:c r="H784" s="17" t="str">
        <x:v>Composição Realizada</x:v>
      </x:c>
      <x:c r="I784" s="21" t="n">
        <x:v>1490</x:v>
      </x:c>
    </x:row>
    <x:row r="785" ht="36" hidden="0" customHeight="1">
      <x:c r="A785" s="17" t="n">
        <x:v>785</x:v>
      </x:c>
      <x:c r="B785" s="17" t="str">
        <x:v>OP-1201</x:v>
      </x:c>
      <x:c r="C785" s="17" t="str">
        <x:v>OS-5373</x:v>
      </x:c>
      <x:c r="D785" s="17" t="str">
        <x:v>2026-05-27 08:30:00</x:v>
      </x:c>
      <x:c r="E785" s="17" t="str">
        <x:v>Johnson&amp;Johnson</x:v>
      </x:c>
      <x:c r="F785" s="17" t="str">
        <x:v>Felipe Barreto - indeterminado;
Diana Rubinstein - indeterminado;
Karin Van Laethem - indeterminado</x:v>
      </x:c>
      <x:c r="G785" s="17" t="str">
        <x:v>Concluído</x:v>
      </x:c>
      <x:c r="H785" s="17" t="str">
        <x:v>Pago</x:v>
      </x:c>
      <x:c r="I785" s="21" t="n">
        <x:v>173.51</x:v>
      </x:c>
    </x:row>
    <x:row r="786" ht="36" hidden="0" customHeight="1">
      <x:c r="A786" s="17" t="n">
        <x:v>786</x:v>
      </x:c>
      <x:c r="B786" s="17" t="str">
        <x:v>OP-1201</x:v>
      </x:c>
      <x:c r="C786" s="17" t="str">
        <x:v>OS-5383</x:v>
      </x:c>
      <x:c r="D786" s="17" t="str">
        <x:v>2026-05-27 08:30:00</x:v>
      </x:c>
      <x:c r="E786" s="17" t="str">
        <x:v>Johnson&amp;Johnson</x:v>
      </x:c>
      <x:c r="F786" s="17" t="str">
        <x:v>Jordy Dhondt - indeterminado;
Mayra Alves - indeterminado;
Melisa Noble - indeterminado</x:v>
      </x:c>
      <x:c r="G786" s="17" t="str">
        <x:v>Concluído</x:v>
      </x:c>
      <x:c r="H786" s="17" t="str">
        <x:v>Pago</x:v>
      </x:c>
      <x:c r="I786" s="21" t="n">
        <x:v>160.51</x:v>
      </x:c>
    </x:row>
    <x:row r="787" ht="15" hidden="0" customHeight="1">
      <x:c r="A787" s="17" t="n">
        <x:v>787</x:v>
      </x:c>
      <x:c r="B787" s="17" t="str">
        <x:v>OP-1187</x:v>
      </x:c>
      <x:c r="C787" s="17" t="str">
        <x:v>OS-5532</x:v>
      </x:c>
      <x:c r="D787" s="17" t="str">
        <x:v>2026-05-27 08:30:00</x:v>
      </x:c>
      <x:c r="E787" s="17" t="str">
        <x:v>Johnson&amp;Johnson</x:v>
      </x:c>
      <x:c r="F787" s="17" t="str">
        <x:v>Alberto Cardoso - +55 12 99629-4747</x:v>
      </x:c>
      <x:c r="G787" s="17" t="str">
        <x:v>Concluído</x:v>
      </x:c>
      <x:c r="H787" s="17" t="str">
        <x:v>Pago</x:v>
      </x:c>
      <x:c r="I787" s="21" t="n">
        <x:v>139.58</x:v>
      </x:c>
    </x:row>
    <x:row r="788" ht="48" hidden="0" customHeight="1">
      <x:c r="A788" s="17" t="n">
        <x:v>788</x:v>
      </x:c>
      <x:c r="B788" s="17" t="str">
        <x:v>OP-1260</x:v>
      </x:c>
      <x:c r="C788" s="17" t="str">
        <x:v>OS-5612</x:v>
      </x:c>
      <x:c r="D788" s="17" t="str">
        <x:v>2026-05-27 09:30:00</x:v>
      </x:c>
      <x:c r="E788" s="17" t="str">
        <x:v>Latasa Recicla BR</x:v>
      </x:c>
      <x:c r="F788" s="17" t="str">
        <x:v>VICTOR AUGUSTO MIRANDA DE OLIVEIRA - 12 99178-2980;
WALLACE DA SILVA - 12 99205-2675;
ANA BEATRIZ APARECIDA DA SILVA - 12 99158-5787;
Vitor Hugo Cirino Pinto - indeterminado</x:v>
      </x:c>
      <x:c r="G788" s="17" t="str">
        <x:v>Concluído</x:v>
      </x:c>
      <x:c r="H788" s="17" t="str">
        <x:v>Composição Realizada</x:v>
      </x:c>
      <x:c r="I788" s="21" t="n">
        <x:v>85</x:v>
      </x:c>
    </x:row>
    <x:row r="789" ht="24" hidden="0" customHeight="1">
      <x:c r="A789" s="17" t="n">
        <x:v>789</x:v>
      </x:c>
      <x:c r="B789" s="17" t="str">
        <x:v>OP-1234</x:v>
      </x:c>
      <x:c r="C789" s="17" t="str">
        <x:v>OS-5608</x:v>
      </x:c>
      <x:c r="D789" s="17" t="str">
        <x:v>2026-05-27 09:40:00</x:v>
      </x:c>
      <x:c r="E789" s="17" t="str">
        <x:v>Boeing</x:v>
      </x:c>
      <x:c r="F789" s="17" t="str">
        <x:v>Marcelo Rodolfo De Assis - 12-981222772;
Monalisa de Cassia Guimaraes Varao - (12) 98174-4848</x:v>
      </x:c>
      <x:c r="G789" s="17" t="str">
        <x:v>Concluído</x:v>
      </x:c>
      <x:c r="H789" s="17" t="str">
        <x:v>Pago</x:v>
      </x:c>
      <x:c r="I789" s="21" t="n">
        <x:v>546.05</x:v>
      </x:c>
    </x:row>
    <x:row r="790" ht="24" hidden="0" customHeight="1">
      <x:c r="A790" s="17" t="n">
        <x:v>790</x:v>
      </x:c>
      <x:c r="B790" s="17" t="str">
        <x:v>OP-1234</x:v>
      </x:c>
      <x:c r="C790" s="17" t="str">
        <x:v>OS-5609</x:v>
      </x:c>
      <x:c r="D790" s="17" t="str">
        <x:v>2026-05-27 10:10:00</x:v>
      </x:c>
      <x:c r="E790" s="17" t="str">
        <x:v>Boeing</x:v>
      </x:c>
      <x:c r="F790" s="17" t="str">
        <x:v>Eduardo Augusto Chaves Junqueira - .: 71 999729631;
Luis Tibana - 12988341501</x:v>
      </x:c>
      <x:c r="G790" s="17" t="str">
        <x:v>Concluído</x:v>
      </x:c>
      <x:c r="H790" s="17" t="str">
        <x:v>Pago</x:v>
      </x:c>
      <x:c r="I790" s="21" t="n">
        <x:v>445.97</x:v>
      </x:c>
    </x:row>
    <x:row r="791" ht="15" hidden="0" customHeight="1">
      <x:c r="A791" s="17" t="n">
        <x:v>791</x:v>
      </x:c>
      <x:c r="B791" s="17" t="str">
        <x:v>OP-1260</x:v>
      </x:c>
      <x:c r="C791" s="17" t="str">
        <x:v>OS-5449</x:v>
      </x:c>
      <x:c r="D791" s="17" t="str">
        <x:v>2026-05-27 13:30:00</x:v>
      </x:c>
      <x:c r="E791" s="17" t="str">
        <x:v>Latasa Recicla BR</x:v>
      </x:c>
      <x:c r="F791" s="17" t="str">
        <x:v>Tiago Henrique Santos Xavier - (12) 99142-8629</x:v>
      </x:c>
      <x:c r="G791" s="17" t="str">
        <x:v>Concluído</x:v>
      </x:c>
      <x:c r="H791" s="17" t="str">
        <x:v>Composição Realizada</x:v>
      </x:c>
      <x:c r="I791" s="21" t="n">
        <x:v>85</x:v>
      </x:c>
    </x:row>
    <x:row r="792" ht="15" hidden="0" customHeight="1">
      <x:c r="A792" s="17" t="n">
        <x:v>792</x:v>
      </x:c>
      <x:c r="B792" s="17" t="str">
        <x:v>OP-1187</x:v>
      </x:c>
      <x:c r="C792" s="17" t="str">
        <x:v>OS-5113</x:v>
      </x:c>
      <x:c r="D792" s="17" t="str">
        <x:v>2026-05-27 15:20:00</x:v>
      </x:c>
      <x:c r="E792" s="17" t="str">
        <x:v>Johnson&amp;Johnson</x:v>
      </x:c>
      <x:c r="F792" s="17" t="str">
        <x:v>Alberto Cardoso - +55 12 99629-4747</x:v>
      </x:c>
      <x:c r="G792" s="17" t="str">
        <x:v>Concluído</x:v>
      </x:c>
      <x:c r="H792" s="17" t="str">
        <x:v>Pago</x:v>
      </x:c>
      <x:c r="I792" s="21" t="n">
        <x:v>139.58</x:v>
      </x:c>
    </x:row>
    <x:row r="793" ht="15" hidden="0" customHeight="1">
      <x:c r="A793" s="17" t="n">
        <x:v>793</x:v>
      </x:c>
      <x:c r="B793" s="17" t="str">
        <x:v>OP-1201</x:v>
      </x:c>
      <x:c r="C793" s="17" t="str">
        <x:v>OS-5391</x:v>
      </x:c>
      <x:c r="D793" s="17" t="str">
        <x:v>2026-05-27 17:00:00</x:v>
      </x:c>
      <x:c r="E793" s="17" t="str">
        <x:v>Johnson&amp;Johnson</x:v>
      </x:c>
      <x:c r="F793" s="17" t="str">
        <x:v>Melisa Noble - indeterminado</x:v>
      </x:c>
      <x:c r="G793" s="17" t="str">
        <x:v>Concluído</x:v>
      </x:c>
      <x:c r="H793" s="17" t="str">
        <x:v>Pago</x:v>
      </x:c>
      <x:c r="I793" s="21" t="n">
        <x:v>509.42</x:v>
      </x:c>
    </x:row>
    <x:row r="794" ht="15" hidden="0" customHeight="1">
      <x:c r="A794" s="17" t="n">
        <x:v>794</x:v>
      </x:c>
      <x:c r="B794" s="17" t="str">
        <x:v>OP-1178</x:v>
      </x:c>
      <x:c r="C794" s="17" t="str">
        <x:v>OS-5593</x:v>
      </x:c>
      <x:c r="D794" s="17" t="str">
        <x:v>2026-05-27 17:00:00</x:v>
      </x:c>
      <x:c r="E794" s="17" t="str">
        <x:v>Particular</x:v>
      </x:c>
      <x:c r="F794" s="17" t="str">
        <x:v>Cleverson Shimizu - ‪+1 (425) 354‑7984‬</x:v>
      </x:c>
      <x:c r="G794" s="17" t="str">
        <x:v>Concluído</x:v>
      </x:c>
      <x:c r="H794" s="17" t="str">
        <x:v>Pago</x:v>
      </x:c>
      <x:c r="I794" s="21" t="n">
        <x:v>390</x:v>
      </x:c>
    </x:row>
    <x:row r="795" ht="36" hidden="0" customHeight="1">
      <x:c r="A795" s="17" t="n">
        <x:v>795</x:v>
      </x:c>
      <x:c r="B795" s="17" t="str">
        <x:v>OP-1201</x:v>
      </x:c>
      <x:c r="C795" s="17" t="str">
        <x:v>OS-5377</x:v>
      </x:c>
      <x:c r="D795" s="17" t="str">
        <x:v>2026-05-27 17:30:00</x:v>
      </x:c>
      <x:c r="E795" s="17" t="str">
        <x:v>Johnson&amp;Johnson</x:v>
      </x:c>
      <x:c r="F795" s="17" t="str">
        <x:v>Felipe Barreto - indeterminado;
Diana Rubinstein - indeterminado;
Karin Van Laethem - indeterminado</x:v>
      </x:c>
      <x:c r="G795" s="17" t="str">
        <x:v>Concluído</x:v>
      </x:c>
      <x:c r="H795" s="17" t="str">
        <x:v>Pago</x:v>
      </x:c>
      <x:c r="I795" s="21" t="n">
        <x:v>489.65</x:v>
      </x:c>
    </x:row>
    <x:row r="796" ht="36" hidden="0" customHeight="1">
      <x:c r="A796" s="17" t="n">
        <x:v>796</x:v>
      </x:c>
      <x:c r="B796" s="17" t="str">
        <x:v>OP-1201</x:v>
      </x:c>
      <x:c r="C796" s="17" t="str">
        <x:v>OS-5387</x:v>
      </x:c>
      <x:c r="D796" s="17" t="str">
        <x:v>2026-05-27 17:30:00</x:v>
      </x:c>
      <x:c r="E796" s="17" t="str">
        <x:v>Johnson&amp;Johnson</x:v>
      </x:c>
      <x:c r="F796" s="17" t="str">
        <x:v>Jordy Dhondt - indeterminado;
Mayra Alves - indeterminado;
Melisa Noble - indeterminado</x:v>
      </x:c>
      <x:c r="G796" s="17" t="str">
        <x:v>Concluído</x:v>
      </x:c>
      <x:c r="H796" s="17" t="str">
        <x:v>Pago</x:v>
      </x:c>
      <x:c r="I796" s="21" t="n">
        <x:v>160.51</x:v>
      </x:c>
    </x:row>
    <x:row r="797" ht="15" hidden="0" customHeight="1">
      <x:c r="A797" s="17" t="n">
        <x:v>797</x:v>
      </x:c>
      <x:c r="B797" s="17" t="str">
        <x:v>OP-1197</x:v>
      </x:c>
      <x:c r="C797" s="17" t="str">
        <x:v>OS-5607</x:v>
      </x:c>
      <x:c r="D797" s="17" t="str">
        <x:v>2026-05-27 22:30:00</x:v>
      </x:c>
      <x:c r="E797" s="17" t="str">
        <x:v>Kenvue</x:v>
      </x:c>
      <x:c r="F797" s="17" t="str">
        <x:v>Ana Isabel Ariatizabal - indeterminado</x:v>
      </x:c>
      <x:c r="G797" s="17" t="str">
        <x:v>Concluído</x:v>
      </x:c>
      <x:c r="H797" s="17" t="str">
        <x:v>Pago</x:v>
      </x:c>
      <x:c r="I797" s="21" t="n">
        <x:v>687.49</x:v>
      </x:c>
    </x:row>
    <x:row r="798" ht="15" hidden="0" customHeight="1">
      <x:c r="A798" s="17" t="n">
        <x:v>798</x:v>
      </x:c>
      <x:c r="B798" s="17" t="str">
        <x:v>OP-1183</x:v>
      </x:c>
      <x:c r="C798" s="17" t="str">
        <x:v>OS-5549</x:v>
      </x:c>
      <x:c r="D798" s="17" t="str">
        <x:v>2026-05-28 05:00:00</x:v>
      </x:c>
      <x:c r="E798" s="17" t="str">
        <x:v>Boeing</x:v>
      </x:c>
      <x:c r="F798" s="17" t="str">
        <x:v>Rafael Henrique Garcia - 19 99598 4276</x:v>
      </x:c>
      <x:c r="G798" s="17" t="str">
        <x:v>Concluído</x:v>
      </x:c>
      <x:c r="H798" s="17" t="str">
        <x:v>Pago</x:v>
      </x:c>
      <x:c r="I798" s="21" t="n">
        <x:v>819.15</x:v>
      </x:c>
    </x:row>
    <x:row r="799" ht="15" hidden="0" customHeight="1">
      <x:c r="A799" s="17" t="n">
        <x:v>799</x:v>
      </x:c>
      <x:c r="B799" s="17" t="str">
        <x:v>OP-1231</x:v>
      </x:c>
      <x:c r="C799" s="17" t="str">
        <x:v>OS-5640</x:v>
      </x:c>
      <x:c r="D799" s="17" t="str">
        <x:v>2026-05-28 06:15:00</x:v>
      </x:c>
      <x:c r="E799" s="17" t="str">
        <x:v>Johnson&amp;Johnson</x:v>
      </x:c>
      <x:c r="F799" s="17" t="str">
        <x:v>Gustavo Militão - +55 12 99147-2119</x:v>
      </x:c>
      <x:c r="G799" s="17" t="str">
        <x:v>Concluído</x:v>
      </x:c>
      <x:c r="H799" s="17" t="str">
        <x:v>Pago</x:v>
      </x:c>
      <x:c r="I799" s="21" t="n">
        <x:v>1204.29</x:v>
      </x:c>
    </x:row>
    <x:row r="800" ht="15" hidden="0" customHeight="1">
      <x:c r="A800" s="17" t="n">
        <x:v>800</x:v>
      </x:c>
      <x:c r="B800" s="17" t="str">
        <x:v>OP-1197</x:v>
      </x:c>
      <x:c r="C800" s="17" t="str">
        <x:v>OS-5647</x:v>
      </x:c>
      <x:c r="D800" s="17" t="str">
        <x:v>2026-05-28 07:30:00</x:v>
      </x:c>
      <x:c r="E800" s="17" t="str">
        <x:v>Kenvue</x:v>
      </x:c>
      <x:c r="F800" s="17" t="str">
        <x:v>Ana Isabel Aristizabal - +57 321 8004146</x:v>
      </x:c>
      <x:c r="G800" s="17" t="str">
        <x:v>Concluído</x:v>
      </x:c>
      <x:c r="H800" s="17" t="str">
        <x:v>Pago</x:v>
      </x:c>
      <x:c r="I800" s="21" t="n">
        <x:v>620.49</x:v>
      </x:c>
    </x:row>
    <x:row r="801" ht="15" hidden="0" customHeight="1">
      <x:c r="A801" s="17" t="n">
        <x:v>801</x:v>
      </x:c>
      <x:c r="B801" s="17" t="str">
        <x:v>OP-1252</x:v>
      </x:c>
      <x:c r="C801" s="17" t="str">
        <x:v>OS-5614</x:v>
      </x:c>
      <x:c r="D801" s="17" t="str">
        <x:v>2026-05-28 08:00:00</x:v>
      </x:c>
      <x:c r="E801" s="17" t="str">
        <x:v>Tenaris</x:v>
      </x:c>
      <x:c r="F801" s="17" t="str">
        <x:v>Empresa Chevron - indeterminado</x:v>
      </x:c>
      <x:c r="G801" s="17" t="str">
        <x:v>Concluído</x:v>
      </x:c>
      <x:c r="H801" s="17" t="str">
        <x:v>Composição Realizada</x:v>
      </x:c>
      <x:c r="I801" s="21" t="n">
        <x:v>1490</x:v>
      </x:c>
    </x:row>
    <x:row r="802" ht="36" hidden="0" customHeight="1">
      <x:c r="A802" s="17" t="n">
        <x:v>802</x:v>
      </x:c>
      <x:c r="B802" s="17" t="str">
        <x:v>OP-1201</x:v>
      </x:c>
      <x:c r="C802" s="17" t="str">
        <x:v>OS-5374</x:v>
      </x:c>
      <x:c r="D802" s="17" t="str">
        <x:v>2026-05-28 08:30:00</x:v>
      </x:c>
      <x:c r="E802" s="17" t="str">
        <x:v>Johnson&amp;Johnson</x:v>
      </x:c>
      <x:c r="F802" s="17" t="str">
        <x:v>Felipe Barreto - indeterminado;
Diana Rubinstein - indeterminado;
Karin Van Laethem - indeterminado</x:v>
      </x:c>
      <x:c r="G802" s="17" t="str">
        <x:v>Concluído</x:v>
      </x:c>
      <x:c r="H802" s="17" t="str">
        <x:v>Pago</x:v>
      </x:c>
      <x:c r="I802" s="21" t="n">
        <x:v>173.51</x:v>
      </x:c>
    </x:row>
    <x:row r="803" ht="24" hidden="0" customHeight="1">
      <x:c r="A803" s="17" t="n">
        <x:v>803</x:v>
      </x:c>
      <x:c r="B803" s="17" t="str">
        <x:v>OP-1201</x:v>
      </x:c>
      <x:c r="C803" s="17" t="str">
        <x:v>OS-5384</x:v>
      </x:c>
      <x:c r="D803" s="17" t="str">
        <x:v>2026-05-28 08:30:00</x:v>
      </x:c>
      <x:c r="E803" s="17" t="str">
        <x:v>Johnson&amp;Johnson</x:v>
      </x:c>
      <x:c r="F803" s="17" t="str">
        <x:v>Jordy Dhondt - indeterminado;
Mayra Alves - indeterminado;</x:v>
      </x:c>
      <x:c r="G803" s="17" t="str">
        <x:v>Concluído</x:v>
      </x:c>
      <x:c r="H803" s="17" t="str">
        <x:v>Pago</x:v>
      </x:c>
      <x:c r="I803" s="21" t="n">
        <x:v>160.51</x:v>
      </x:c>
    </x:row>
    <x:row r="804" ht="15" hidden="0" customHeight="1">
      <x:c r="A804" s="17" t="n">
        <x:v>804</x:v>
      </x:c>
      <x:c r="B804" s="17" t="str">
        <x:v>OP-1187</x:v>
      </x:c>
      <x:c r="C804" s="17" t="str">
        <x:v>OS-5533</x:v>
      </x:c>
      <x:c r="D804" s="17" t="str">
        <x:v>2026-05-28 08:30:00</x:v>
      </x:c>
      <x:c r="E804" s="17" t="str">
        <x:v>Johnson&amp;Johnson</x:v>
      </x:c>
      <x:c r="F804" s="17" t="str">
        <x:v>Alberto Cardoso - +55 12 99629-4747</x:v>
      </x:c>
      <x:c r="G804" s="17" t="str">
        <x:v>Concluído</x:v>
      </x:c>
      <x:c r="H804" s="17" t="str">
        <x:v>Pago</x:v>
      </x:c>
      <x:c r="I804" s="21" t="n">
        <x:v>139.58</x:v>
      </x:c>
    </x:row>
    <x:row r="805" ht="15" hidden="0" customHeight="1">
      <x:c r="A805" s="17" t="n">
        <x:v>805</x:v>
      </x:c>
      <x:c r="B805" s="17" t="str">
        <x:v>OP-1260</x:v>
      </x:c>
      <x:c r="C805" s="17" t="str">
        <x:v>OS-5685</x:v>
      </x:c>
      <x:c r="D805" s="17" t="str">
        <x:v>2026-05-28 13:00:00</x:v>
      </x:c>
      <x:c r="E805" s="17" t="str">
        <x:v>Latasa Recicla BR</x:v>
      </x:c>
      <x:c r="F805" s="17" t="str">
        <x:v>WANGLES CAMARGO PINHO - indeterminado</x:v>
      </x:c>
      <x:c r="G805" s="17" t="str">
        <x:v>Concluído</x:v>
      </x:c>
      <x:c r="H805" s="17" t="str">
        <x:v>Composição Realizada</x:v>
      </x:c>
      <x:c r="I805" s="21" t="n">
        <x:v>85</x:v>
      </x:c>
    </x:row>
    <x:row r="806" ht="15" hidden="0" customHeight="1">
      <x:c r="A806" s="17" t="n">
        <x:v>806</x:v>
      </x:c>
      <x:c r="B806" s="17" t="str">
        <x:v>OP-1187</x:v>
      </x:c>
      <x:c r="C806" s="17" t="str">
        <x:v>OS-5114</x:v>
      </x:c>
      <x:c r="D806" s="17" t="str">
        <x:v>2026-05-28 15:30:00</x:v>
      </x:c>
      <x:c r="E806" s="17" t="str">
        <x:v>Johnson&amp;Johnson</x:v>
      </x:c>
      <x:c r="F806" s="17" t="str">
        <x:v>Alberto Cardoso - +55 12 99629-4747</x:v>
      </x:c>
      <x:c r="G806" s="17" t="str">
        <x:v>Concluído</x:v>
      </x:c>
      <x:c r="H806" s="17" t="str">
        <x:v>Pago</x:v>
      </x:c>
      <x:c r="I806" s="21" t="n">
        <x:v>139.58</x:v>
      </x:c>
    </x:row>
    <x:row r="807" ht="36" hidden="0" customHeight="1">
      <x:c r="A807" s="17" t="n">
        <x:v>807</x:v>
      </x:c>
      <x:c r="B807" s="17" t="str">
        <x:v>OP-1201</x:v>
      </x:c>
      <x:c r="C807" s="17" t="str">
        <x:v>OS-5378</x:v>
      </x:c>
      <x:c r="D807" s="17" t="str">
        <x:v>2026-05-28 17:30:00</x:v>
      </x:c>
      <x:c r="E807" s="17" t="str">
        <x:v>Johnson&amp;Johnson</x:v>
      </x:c>
      <x:c r="F807" s="17" t="str">
        <x:v>Felipe Barreto - indeterminado;
Diana Rubinstein - indeterminado;
Karin Van Laethem - indeterminado</x:v>
      </x:c>
      <x:c r="G807" s="17" t="str">
        <x:v>Concluído</x:v>
      </x:c>
      <x:c r="H807" s="17" t="str">
        <x:v>Pago</x:v>
      </x:c>
      <x:c r="I807" s="21" t="n">
        <x:v>160.51</x:v>
      </x:c>
    </x:row>
    <x:row r="808" ht="36" hidden="0" customHeight="1">
      <x:c r="A808" s="17" t="n">
        <x:v>808</x:v>
      </x:c>
      <x:c r="B808" s="17" t="str">
        <x:v>OP-1201</x:v>
      </x:c>
      <x:c r="C808" s="17" t="str">
        <x:v>OS-5388</x:v>
      </x:c>
      <x:c r="D808" s="17" t="str">
        <x:v>2026-05-28 17:30:00</x:v>
      </x:c>
      <x:c r="E808" s="17" t="str">
        <x:v>Johnson&amp;Johnson</x:v>
      </x:c>
      <x:c r="F808" s="17" t="str">
        <x:v>Jordy Dhondt - indeterminado;
Mayra Alves - indeterminado;
Melisa Noble - indeterminado</x:v>
      </x:c>
      <x:c r="G808" s="17" t="str">
        <x:v>Concluído</x:v>
      </x:c>
      <x:c r="H808" s="17" t="str">
        <x:v>Pago</x:v>
      </x:c>
      <x:c r="I808" s="21" t="n">
        <x:v>160.51</x:v>
      </x:c>
    </x:row>
    <x:row r="809" ht="15" hidden="0" customHeight="1">
      <x:c r="A809" s="17" t="n">
        <x:v>809</x:v>
      </x:c>
      <x:c r="B809" s="17" t="str">
        <x:v>OP-1197</x:v>
      </x:c>
      <x:c r="C809" s="17" t="str">
        <x:v>OS-5648</x:v>
      </x:c>
      <x:c r="D809" s="17" t="str">
        <x:v>2026-05-28 18:00:00</x:v>
      </x:c>
      <x:c r="E809" s="17" t="str">
        <x:v>Kenvue</x:v>
      </x:c>
      <x:c r="F809" s="17" t="str">
        <x:v>Ana Isabel Aristizabal - +57 321 8004146</x:v>
      </x:c>
      <x:c r="G809" s="17" t="str">
        <x:v>Concluído</x:v>
      </x:c>
      <x:c r="H809" s="17" t="str">
        <x:v>Pago</x:v>
      </x:c>
      <x:c r="I809" s="21" t="n">
        <x:v>620.49</x:v>
      </x:c>
    </x:row>
    <x:row r="810" ht="15" hidden="0" customHeight="1">
      <x:c r="A810" s="17" t="n">
        <x:v>810</x:v>
      </x:c>
      <x:c r="B810" s="17" t="str">
        <x:v>OP-1181</x:v>
      </x:c>
      <x:c r="C810" s="17" t="str">
        <x:v>OS-5597</x:v>
      </x:c>
      <x:c r="D810" s="17" t="str">
        <x:v>2026-05-28 18:30:00</x:v>
      </x:c>
      <x:c r="E810" s="17" t="str">
        <x:v>Johnson&amp;Johnson</x:v>
      </x:c>
      <x:c r="F810" s="17" t="str">
        <x:v>Vanessa Lima - ‪+55 12 98819‑0703‬</x:v>
      </x:c>
      <x:c r="G810" s="17" t="str">
        <x:v>Concluído</x:v>
      </x:c>
      <x:c r="H810" s="17" t="str">
        <x:v>Pago</x:v>
      </x:c>
      <x:c r="I810" s="21" t="n">
        <x:v>669.37</x:v>
      </x:c>
    </x:row>
    <x:row r="811" ht="15" hidden="0" customHeight="1">
      <x:c r="A811" s="17" t="n">
        <x:v>811</x:v>
      </x:c>
      <x:c r="B811" s="17" t="str">
        <x:v>OP-1203</x:v>
      </x:c>
      <x:c r="C811" s="17" t="str">
        <x:v>OS-5438</x:v>
      </x:c>
      <x:c r="D811" s="17" t="str">
        <x:v>2026-05-29 03:30:00</x:v>
      </x:c>
      <x:c r="E811" s="17" t="str">
        <x:v>Johnson&amp;Johnson</x:v>
      </x:c>
      <x:c r="F811" s="17" t="str">
        <x:v>Natalia Cristina Mor - 12 98140-2982 </x:v>
      </x:c>
      <x:c r="G811" s="17" t="str">
        <x:v>Concluído</x:v>
      </x:c>
      <x:c r="H811" s="17" t="str">
        <x:v>Pago</x:v>
      </x:c>
      <x:c r="I811" s="21" t="n">
        <x:v>442.98</x:v>
      </x:c>
    </x:row>
    <x:row r="812" ht="15" hidden="0" customHeight="1">
      <x:c r="A812" s="17" t="n">
        <x:v>812</x:v>
      </x:c>
      <x:c r="B812" s="17" t="str">
        <x:v>OP-1194</x:v>
      </x:c>
      <x:c r="C812" s="17" t="str">
        <x:v>OS-5580</x:v>
      </x:c>
      <x:c r="D812" s="17" t="str">
        <x:v>2026-05-29 04:00:00</x:v>
      </x:c>
      <x:c r="E812" s="17" t="str">
        <x:v>Johnson&amp;Johnson</x:v>
      </x:c>
      <x:c r="F812" s="17" t="str">
        <x:v>Maria Laura Cedeño - ‪+593 95 894 8019‬</x:v>
      </x:c>
      <x:c r="G812" s="17" t="str">
        <x:v>Concluído</x:v>
      </x:c>
      <x:c r="H812" s="17" t="str">
        <x:v>Pago</x:v>
      </x:c>
      <x:c r="I812" s="21" t="n">
        <x:v>509.42</x:v>
      </x:c>
    </x:row>
    <x:row r="813" ht="15" hidden="0" customHeight="1">
      <x:c r="A813" s="17" t="n">
        <x:v>813</x:v>
      </x:c>
      <x:c r="B813" s="17" t="str">
        <x:v>OP-1213</x:v>
      </x:c>
      <x:c r="C813" s="17" t="str">
        <x:v>OS-5494</x:v>
      </x:c>
      <x:c r="D813" s="17" t="str">
        <x:v>2026-05-29 05:00:00</x:v>
      </x:c>
      <x:c r="E813" s="17" t="str">
        <x:v>Johnson&amp;Johnson</x:v>
      </x:c>
      <x:c r="F813" s="17" t="str">
        <x:v>Alejandra López Salazar - indeterminado</x:v>
      </x:c>
      <x:c r="G813" s="17" t="str">
        <x:v>Concluído</x:v>
      </x:c>
      <x:c r="H813" s="17" t="str">
        <x:v>Pago</x:v>
      </x:c>
      <x:c r="I813" s="21" t="n">
        <x:v>509.42</x:v>
      </x:c>
    </x:row>
    <x:row r="814" ht="15" hidden="0" customHeight="1">
      <x:c r="A814" s="17" t="n">
        <x:v>814</x:v>
      </x:c>
      <x:c r="B814" s="17" t="str">
        <x:v>OP-1246</x:v>
      </x:c>
      <x:c r="C814" s="17" t="str">
        <x:v>OS-5709</x:v>
      </x:c>
      <x:c r="D814" s="17" t="str">
        <x:v>2026-05-29 05:30:00</x:v>
      </x:c>
      <x:c r="E814" s="17" t="str">
        <x:v>Johnson&amp;Johnson</x:v>
      </x:c>
      <x:c r="F814" s="17" t="str">
        <x:v>Giovanna Marinho - +52 1 55 6086 0233</x:v>
      </x:c>
      <x:c r="G814" s="17" t="str">
        <x:v>Concluído</x:v>
      </x:c>
      <x:c r="H814" s="17" t="str">
        <x:v>Pago</x:v>
      </x:c>
      <x:c r="I814" s="21" t="n">
        <x:v>816.01</x:v>
      </x:c>
    </x:row>
    <x:row r="815" ht="24" hidden="0" customHeight="1">
      <x:c r="A815" s="17" t="n">
        <x:v>815</x:v>
      </x:c>
      <x:c r="B815" s="17" t="str">
        <x:v>OP-1189</x:v>
      </x:c>
      <x:c r="C815" s="17" t="str">
        <x:v>OS-4761</x:v>
      </x:c>
      <x:c r="D815" s="17" t="str">
        <x:v>2026-05-29 07:00:00</x:v>
      </x:c>
      <x:c r="E815" s="17" t="str">
        <x:v>Johnson&amp;Johnson</x:v>
      </x:c>
      <x:c r="F815" s="17" t="str">
        <x:v>Viviane Lemes Castro - +55 12 98809-5016 / 12 99165 3728;
Rosicleide R. S. Lopes - +55 12 99189 0979</x:v>
      </x:c>
      <x:c r="G815" s="17" t="str">
        <x:v>Concluído</x:v>
      </x:c>
      <x:c r="H815" s="17" t="str">
        <x:v>Pago</x:v>
      </x:c>
      <x:c r="I815" s="21" t="n">
        <x:v>2195</x:v>
      </x:c>
    </x:row>
    <x:row r="816" ht="15" hidden="0" customHeight="1">
      <x:c r="A816" s="17" t="n">
        <x:v>816</x:v>
      </x:c>
      <x:c r="B816" s="17" t="str">
        <x:v>OP-1186</x:v>
      </x:c>
      <x:c r="C816" s="17" t="str">
        <x:v>OS-5141</x:v>
      </x:c>
      <x:c r="D816" s="17" t="str">
        <x:v>2026-05-29 07:30:00</x:v>
      </x:c>
      <x:c r="E816" s="17" t="str">
        <x:v>Johnson&amp;Johnson</x:v>
      </x:c>
      <x:c r="F816" s="17" t="str">
        <x:v>Fernanda Runha - +55 12 98122-8335</x:v>
      </x:c>
      <x:c r="G816" s="17" t="str">
        <x:v>Concluído</x:v>
      </x:c>
      <x:c r="H816" s="17" t="str">
        <x:v>Pago</x:v>
      </x:c>
      <x:c r="I816" s="21" t="n">
        <x:v>509.98</x:v>
      </x:c>
    </x:row>
    <x:row r="817" ht="15" hidden="0" customHeight="1">
      <x:c r="A817" s="17" t="n">
        <x:v>817</x:v>
      </x:c>
      <x:c r="B817" s="17" t="str">
        <x:v>OP-1197</x:v>
      </x:c>
      <x:c r="C817" s="17" t="str">
        <x:v>OS-5650</x:v>
      </x:c>
      <x:c r="D817" s="17" t="str">
        <x:v>2026-05-29 07:30:00</x:v>
      </x:c>
      <x:c r="E817" s="17" t="str">
        <x:v>Kenvue</x:v>
      </x:c>
      <x:c r="F817" s="17" t="str">
        <x:v>Ana Isabel Aristizabal - +57 321 8004146</x:v>
      </x:c>
      <x:c r="G817" s="17" t="str">
        <x:v>Concluído</x:v>
      </x:c>
      <x:c r="H817" s="17" t="str">
        <x:v>Pago</x:v>
      </x:c>
      <x:c r="I817" s="21" t="n">
        <x:v>1387.62</x:v>
      </x:c>
    </x:row>
    <x:row r="818" ht="36" hidden="0" customHeight="1">
      <x:c r="A818" s="17" t="n">
        <x:v>818</x:v>
      </x:c>
      <x:c r="B818" s="17" t="str">
        <x:v>OP-1188</x:v>
      </x:c>
      <x:c r="C818" s="17" t="str">
        <x:v>OS-5564</x:v>
      </x:c>
      <x:c r="D818" s="17" t="str">
        <x:v>2026-05-29 08:00:00</x:v>
      </x:c>
      <x:c r="E818" s="17" t="str">
        <x:v>Kenvue</x:v>
      </x:c>
      <x:c r="F818" s="17" t="str">
        <x:v>Sushil Iyer - indeterminado;
Carlos Lopes - +5512991472460;
Daniela Ferrete - +5511947699503</x:v>
      </x:c>
      <x:c r="G818" s="17" t="str">
        <x:v>Concluído</x:v>
      </x:c>
      <x:c r="H818" s="17" t="str">
        <x:v>Pago</x:v>
      </x:c>
      <x:c r="I818" s="21" t="n">
        <x:v>2965.61</x:v>
      </x:c>
    </x:row>
    <x:row r="819" ht="15" hidden="0" customHeight="1">
      <x:c r="A819" s="17" t="n">
        <x:v>819</x:v>
      </x:c>
      <x:c r="B819" s="17" t="str">
        <x:v>OP-1253</x:v>
      </x:c>
      <x:c r="C819" s="17" t="str">
        <x:v>OS-5615</x:v>
      </x:c>
      <x:c r="D819" s="17" t="str">
        <x:v>2026-05-29 08:00:00</x:v>
      </x:c>
      <x:c r="E819" s="17" t="str">
        <x:v>Tenaris</x:v>
      </x:c>
      <x:c r="F819" s="17" t="str">
        <x:v>Empresa Chevron - indeterminado</x:v>
      </x:c>
      <x:c r="G819" s="17" t="str">
        <x:v>Concluído</x:v>
      </x:c>
      <x:c r="H819" s="17" t="str">
        <x:v>Composição Realizada</x:v>
      </x:c>
      <x:c r="I819" s="21" t="n">
        <x:v>1490</x:v>
      </x:c>
    </x:row>
    <x:row r="820" ht="36" hidden="0" customHeight="1">
      <x:c r="A820" s="17" t="n">
        <x:v>820</x:v>
      </x:c>
      <x:c r="B820" s="17" t="str">
        <x:v>OP-1201</x:v>
      </x:c>
      <x:c r="C820" s="17" t="str">
        <x:v>OS-5375</x:v>
      </x:c>
      <x:c r="D820" s="17" t="str">
        <x:v>2026-05-29 08:30:00</x:v>
      </x:c>
      <x:c r="E820" s="17" t="str">
        <x:v>Johnson&amp;Johnson</x:v>
      </x:c>
      <x:c r="F820" s="17" t="str">
        <x:v>Felipe Barreto - indeterminado;
Diana Rubinstein - indeterminado;
Karin Van Laethem - indeterminado</x:v>
      </x:c>
      <x:c r="G820" s="17" t="str">
        <x:v>Concluído</x:v>
      </x:c>
      <x:c r="H820" s="17" t="str">
        <x:v>Pago</x:v>
      </x:c>
      <x:c r="I820" s="21" t="n">
        <x:v>173.51</x:v>
      </x:c>
    </x:row>
    <x:row r="821" ht="36" hidden="0" customHeight="1">
      <x:c r="A821" s="17" t="n">
        <x:v>821</x:v>
      </x:c>
      <x:c r="B821" s="17" t="str">
        <x:v>OP-1201</x:v>
      </x:c>
      <x:c r="C821" s="17" t="str">
        <x:v>OS-5385</x:v>
      </x:c>
      <x:c r="D821" s="17" t="str">
        <x:v>2026-05-29 08:30:00</x:v>
      </x:c>
      <x:c r="E821" s="17" t="str">
        <x:v>Johnson&amp;Johnson</x:v>
      </x:c>
      <x:c r="F821" s="17" t="str">
        <x:v>Jordy Dhondt - indeterminado;
Mayra Alves - indeterminado;
Melisa Noble - indeterminado</x:v>
      </x:c>
      <x:c r="G821" s="17" t="str">
        <x:v>Concluído</x:v>
      </x:c>
      <x:c r="H821" s="17" t="str">
        <x:v>Pago</x:v>
      </x:c>
      <x:c r="I821" s="21" t="n">
        <x:v>160.51</x:v>
      </x:c>
    </x:row>
    <x:row r="822" ht="15" hidden="0" customHeight="1">
      <x:c r="A822" s="17" t="n">
        <x:v>822</x:v>
      </x:c>
      <x:c r="B822" s="17" t="str">
        <x:v>OP-1187</x:v>
      </x:c>
      <x:c r="C822" s="17" t="str">
        <x:v>OS-5534</x:v>
      </x:c>
      <x:c r="D822" s="17" t="str">
        <x:v>2026-05-29 08:30:00</x:v>
      </x:c>
      <x:c r="E822" s="17" t="str">
        <x:v>Johnson&amp;Johnson</x:v>
      </x:c>
      <x:c r="F822" s="17" t="str">
        <x:v>Alberto Cardoso - +55 12 99629-4747</x:v>
      </x:c>
      <x:c r="G822" s="17" t="str">
        <x:v>Concluído</x:v>
      </x:c>
      <x:c r="H822" s="17" t="str">
        <x:v>Pago</x:v>
      </x:c>
      <x:c r="I822" s="21" t="n">
        <x:v>139.58</x:v>
      </x:c>
    </x:row>
    <x:row r="823" ht="24" hidden="0" customHeight="1">
      <x:c r="A823" s="17" t="n">
        <x:v>823</x:v>
      </x:c>
      <x:c r="B823" s="17" t="str">
        <x:v>OP-1189</x:v>
      </x:c>
      <x:c r="C823" s="17" t="str">
        <x:v>OS-4755</x:v>
      </x:c>
      <x:c r="D823" s="17" t="str">
        <x:v>2026-05-29 13:00:00</x:v>
      </x:c>
      <x:c r="E823" s="17" t="str">
        <x:v>Johnson&amp;Johnson</x:v>
      </x:c>
      <x:c r="F823" s="17" t="str">
        <x:v>Geissy Macedo Santos - 11953813692;
Uyara Camargo - 19 997346757</x:v>
      </x:c>
      <x:c r="G823" s="17" t="str">
        <x:v>Concluído</x:v>
      </x:c>
      <x:c r="H823" s="17" t="str">
        <x:v>Pago</x:v>
      </x:c>
      <x:c r="I823" s="21" t="n">
        <x:v>1891.89</x:v>
      </x:c>
    </x:row>
    <x:row r="824" ht="15" hidden="0" customHeight="1">
      <x:c r="A824" s="17" t="n">
        <x:v>824</x:v>
      </x:c>
      <x:c r="B824" s="17" t="str">
        <x:v>OP-1260</x:v>
      </x:c>
      <x:c r="C824" s="17" t="str">
        <x:v>OS-5450</x:v>
      </x:c>
      <x:c r="D824" s="17" t="str">
        <x:v>2026-05-29 13:30:00</x:v>
      </x:c>
      <x:c r="E824" s="17" t="str">
        <x:v>Latasa Recicla BR</x:v>
      </x:c>
      <x:c r="F824" s="17" t="str">
        <x:v>Tiago Henrique Santos Xavier - (12) 99142-8629</x:v>
      </x:c>
      <x:c r="G824" s="17" t="str">
        <x:v>Concluído</x:v>
      </x:c>
      <x:c r="H824" s="17" t="str">
        <x:v>Composição Realizada</x:v>
      </x:c>
      <x:c r="I824" s="21" t="n">
        <x:v>85</x:v>
      </x:c>
    </x:row>
    <x:row r="825" ht="15" hidden="0" customHeight="1">
      <x:c r="A825" s="17" t="n">
        <x:v>825</x:v>
      </x:c>
      <x:c r="B825" s="17" t="str">
        <x:v>OP-1187</x:v>
      </x:c>
      <x:c r="C825" s="17" t="str">
        <x:v>OS-5115</x:v>
      </x:c>
      <x:c r="D825" s="17" t="str">
        <x:v>2026-05-29 15:30:00</x:v>
      </x:c>
      <x:c r="E825" s="17" t="str">
        <x:v>Johnson&amp;Johnson</x:v>
      </x:c>
      <x:c r="F825" s="17" t="str">
        <x:v>Alberto Cardoso - +55 12 99629-4747</x:v>
      </x:c>
      <x:c r="G825" s="17" t="str">
        <x:v>Concluído</x:v>
      </x:c>
      <x:c r="H825" s="17" t="str">
        <x:v>Pago</x:v>
      </x:c>
      <x:c r="I825" s="21" t="n">
        <x:v>139.58</x:v>
      </x:c>
    </x:row>
    <x:row r="826" ht="24" hidden="0" customHeight="1">
      <x:c r="A826" s="17" t="n">
        <x:v>826</x:v>
      </x:c>
      <x:c r="B826" s="17" t="str">
        <x:v>OP-1188</x:v>
      </x:c>
      <x:c r="C826" s="17" t="str">
        <x:v>OS-5628</x:v>
      </x:c>
      <x:c r="D826" s="17" t="str">
        <x:v>2026-05-29 16:00:00</x:v>
      </x:c>
      <x:c r="E826" s="17" t="str">
        <x:v>Kenvue</x:v>
      </x:c>
      <x:c r="F826" s="17" t="str">
        <x:v>Carlos Lopes - +5512991472460;
Daniela Ferrete - +5511947699503</x:v>
      </x:c>
      <x:c r="G826" s="17" t="str">
        <x:v>Concluído</x:v>
      </x:c>
      <x:c r="H826" s="17" t="str">
        <x:v>Pago</x:v>
      </x:c>
      <x:c r="I826" s="21" t="n">
        <x:v>1332.42</x:v>
      </x:c>
    </x:row>
    <x:row r="827" ht="15" hidden="0" customHeight="1">
      <x:c r="A827" s="17" t="n">
        <x:v>827</x:v>
      </x:c>
      <x:c r="B827" s="17" t="str">
        <x:v>OP-1250</x:v>
      </x:c>
      <x:c r="C827" s="17" t="str">
        <x:v>OS-5480</x:v>
      </x:c>
      <x:c r="D827" s="17" t="str">
        <x:v>2026-05-29 17:00:00</x:v>
      </x:c>
      <x:c r="E827" s="17" t="str">
        <x:v>Boeing</x:v>
      </x:c>
      <x:c r="F827" s="17" t="str">
        <x:v>Marcelo de Melo Faria - 12 99763-8354</x:v>
      </x:c>
      <x:c r="G827" s="17" t="str">
        <x:v>Concluído</x:v>
      </x:c>
      <x:c r="H827" s="17" t="str">
        <x:v>Pago</x:v>
      </x:c>
      <x:c r="I827" s="21" t="n">
        <x:v>396.05</x:v>
      </x:c>
    </x:row>
    <x:row r="828" ht="36" hidden="0" customHeight="1">
      <x:c r="A828" s="17" t="n">
        <x:v>828</x:v>
      </x:c>
      <x:c r="B828" s="17" t="str">
        <x:v>OP-1201</x:v>
      </x:c>
      <x:c r="C828" s="17" t="str">
        <x:v>OS-5379</x:v>
      </x:c>
      <x:c r="D828" s="17" t="str">
        <x:v>2026-05-29 17:30:00</x:v>
      </x:c>
      <x:c r="E828" s="17" t="str">
        <x:v>Johnson&amp;Johnson</x:v>
      </x:c>
      <x:c r="F828" s="17" t="str">
        <x:v>Felipe Barreto - indeterminado;
Diana Rubinstein - indeterminado;
Karin Van Laethem - indeterminado</x:v>
      </x:c>
      <x:c r="G828" s="17" t="str">
        <x:v>Concluído</x:v>
      </x:c>
      <x:c r="H828" s="17" t="str">
        <x:v>Pago</x:v>
      </x:c>
      <x:c r="I828" s="21" t="n">
        <x:v>160.51</x:v>
      </x:c>
    </x:row>
    <x:row r="829" ht="15" hidden="0" customHeight="1">
      <x:c r="A829" s="17" t="n">
        <x:v>829</x:v>
      </x:c>
      <x:c r="B829" s="17" t="str">
        <x:v>OP-1201</x:v>
      </x:c>
      <x:c r="C829" s="17" t="str">
        <x:v>OS-5389</x:v>
      </x:c>
      <x:c r="D829" s="17" t="str">
        <x:v>2026-05-29 17:30:00</x:v>
      </x:c>
      <x:c r="E829" s="17" t="str">
        <x:v>Johnson&amp;Johnson</x:v>
      </x:c>
      <x:c r="F829" s="17" t="str">
        <x:v>Jordy Dhondt</x:v>
      </x:c>
      <x:c r="G829" s="17" t="str">
        <x:v>Concluído</x:v>
      </x:c>
      <x:c r="H829" s="17" t="str">
        <x:v>Pago</x:v>
      </x:c>
      <x:c r="I829" s="21" t="n">
        <x:v>713.56</x:v>
      </x:c>
    </x:row>
    <x:row r="830" ht="15" hidden="0" customHeight="1">
      <x:c r="A830" s="17" t="n">
        <x:v>830</x:v>
      </x:c>
      <x:c r="B830" s="17" t="str">
        <x:v>OP-1185</x:v>
      </x:c>
      <x:c r="C830" s="17" t="str">
        <x:v>OS-5452</x:v>
      </x:c>
      <x:c r="D830" s="17" t="str">
        <x:v>2026-05-29 18:55:00</x:v>
      </x:c>
      <x:c r="E830" s="17" t="str">
        <x:v>Boeing</x:v>
      </x:c>
      <x:c r="F830" s="17" t="str">
        <x:v>Cibele Carvalho Silva - +55 12 991495546</x:v>
      </x:c>
      <x:c r="G830" s="17" t="str">
        <x:v>Concluído</x:v>
      </x:c>
      <x:c r="H830" s="17" t="str">
        <x:v>Pago</x:v>
      </x:c>
      <x:c r="I830" s="21" t="n">
        <x:v>463.05</x:v>
      </x:c>
    </x:row>
    <x:row r="831" ht="15" hidden="0" customHeight="1">
      <x:c r="A831" s="17" t="n">
        <x:v>831</x:v>
      </x:c>
      <x:c r="B831" s="17" t="str">
        <x:v>OP-1199</x:v>
      </x:c>
      <x:c r="C831" s="17" t="str">
        <x:v>OS-5908</x:v>
      </x:c>
      <x:c r="D831" s="17" t="str">
        <x:v>2026-05-29 21:00:00</x:v>
      </x:c>
      <x:c r="E831" s="17" t="str">
        <x:v>Johnson&amp;Johnson</x:v>
      </x:c>
      <x:c r="F831" s="17" t="str">
        <x:v>Oscar Montes - indeterminado</x:v>
      </x:c>
      <x:c r="G831" s="17" t="str">
        <x:v>Concluído</x:v>
      </x:c>
      <x:c r="H831" s="17" t="str">
        <x:v>Pago</x:v>
      </x:c>
      <x:c r="I831" s="21" t="n">
        <x:v>769.77</x:v>
      </x:c>
    </x:row>
    <x:row r="832" ht="15" hidden="0" customHeight="1">
      <x:c r="A832" s="17" t="n">
        <x:v>832</x:v>
      </x:c>
      <x:c r="B832" s="17" t="str">
        <x:v>OP-1246</x:v>
      </x:c>
      <x:c r="C832" s="17" t="str">
        <x:v>OS-6211</x:v>
      </x:c>
      <x:c r="D832" s="17" t="str">
        <x:v>2026-05-30 05:15:00</x:v>
      </x:c>
      <x:c r="E832" s="17" t="str">
        <x:v>Johnson&amp;Johnson</x:v>
      </x:c>
      <x:c r="F832" s="17" t="str">
        <x:v>Giovanna Marinho - +52 15 5608 6023 3</x:v>
      </x:c>
      <x:c r="G832" s="17" t="str">
        <x:v>Concluído</x:v>
      </x:c>
      <x:c r="H832" s="17" t="str">
        <x:v>Pago</x:v>
      </x:c>
      <x:c r="I832" s="21" t="n">
        <x:v>509.42</x:v>
      </x:c>
    </x:row>
    <x:row r="833" ht="15" hidden="0" customHeight="1">
      <x:c r="A833" s="17" t="n">
        <x:v>833</x:v>
      </x:c>
      <x:c r="B833" s="17" t="str">
        <x:v>OP-1187</x:v>
      </x:c>
      <x:c r="C833" s="17" t="str">
        <x:v>OS-5535</x:v>
      </x:c>
      <x:c r="D833" s="17" t="str">
        <x:v>2026-05-30 08:30:00</x:v>
      </x:c>
      <x:c r="E833" s="17" t="str">
        <x:v>Johnson&amp;Johnson</x:v>
      </x:c>
      <x:c r="F833" s="17" t="str">
        <x:v>Alberto Cardoso - +55 12 99629-4747</x:v>
      </x:c>
      <x:c r="G833" s="17" t="str">
        <x:v>Cancelado</x:v>
      </x:c>
      <x:c r="H833" s="17" t="str">
        <x:v>Pago</x:v>
      </x:c>
      <x:c r="I833" s="21" t="n">
        <x:v>0</x:v>
      </x:c>
    </x:row>
    <x:row r="834" ht="15" hidden="0" customHeight="1">
      <x:c r="A834" s="17" t="n">
        <x:v>834</x:v>
      </x:c>
      <x:c r="B834" s="17" t="str">
        <x:v>OP-1197</x:v>
      </x:c>
      <x:c r="C834" s="17" t="str">
        <x:v>OS-5651</x:v>
      </x:c>
      <x:c r="D834" s="17" t="str">
        <x:v>2026-05-30 10:00:00</x:v>
      </x:c>
      <x:c r="E834" s="17" t="str">
        <x:v>Kenvue</x:v>
      </x:c>
      <x:c r="F834" s="17" t="str">
        <x:v>Ana Isabel Aristizabal - +57 321 800 4146</x:v>
      </x:c>
      <x:c r="G834" s="17" t="str">
        <x:v>Concluído</x:v>
      </x:c>
      <x:c r="H834" s="17" t="str">
        <x:v>Pago</x:v>
      </x:c>
      <x:c r="I834" s="21" t="n">
        <x:v>620.49</x:v>
      </x:c>
    </x:row>
    <x:row r="835" ht="15" hidden="0" customHeight="1">
      <x:c r="A835" s="17" t="n">
        <x:v>835</x:v>
      </x:c>
      <x:c r="B835" s="17" t="str">
        <x:v>OP-1201</x:v>
      </x:c>
      <x:c r="C835" s="17" t="str">
        <x:v>OS-5393</x:v>
      </x:c>
      <x:c r="D835" s="17" t="str">
        <x:v>2026-05-30 13:00:00</x:v>
      </x:c>
      <x:c r="E835" s="17" t="str">
        <x:v>Johnson&amp;Johnson</x:v>
      </x:c>
      <x:c r="F835" s="17" t="str">
        <x:v>Diana Rubinstein</x:v>
      </x:c>
      <x:c r="G835" s="17" t="str">
        <x:v>Concluído</x:v>
      </x:c>
      <x:c r="H835" s="17" t="str">
        <x:v>Pago</x:v>
      </x:c>
      <x:c r="I835" s="21" t="n">
        <x:v>509.42</x:v>
      </x:c>
    </x:row>
    <x:row r="836" ht="15" hidden="0" customHeight="1">
      <x:c r="A836" s="17" t="n">
        <x:v>836</x:v>
      </x:c>
      <x:c r="B836" s="17" t="str">
        <x:v>OP-1187</x:v>
      </x:c>
      <x:c r="C836" s="17" t="str">
        <x:v>OS-5116</x:v>
      </x:c>
      <x:c r="D836" s="17" t="str">
        <x:v>2026-05-30 16:00:00</x:v>
      </x:c>
      <x:c r="E836" s="17" t="str">
        <x:v>Johnson&amp;Johnson</x:v>
      </x:c>
      <x:c r="F836" s="17" t="str">
        <x:v>Alberto Cardoso - +55 12 99629-4747</x:v>
      </x:c>
      <x:c r="G836" s="17" t="str">
        <x:v>Cancelado</x:v>
      </x:c>
      <x:c r="H836" s="17" t="str">
        <x:v>Pago</x:v>
      </x:c>
      <x:c r="I836" s="21" t="n">
        <x:v>0</x:v>
      </x:c>
    </x:row>
    <x:row r="837" ht="15" hidden="0" customHeight="1">
      <x:c r="A837" s="17" t="n">
        <x:v>837</x:v>
      </x:c>
      <x:c r="B837" s="17" t="str">
        <x:v>OP-1249</x:v>
      </x:c>
      <x:c r="C837" s="17" t="str">
        <x:v>OS-5550</x:v>
      </x:c>
      <x:c r="D837" s="17" t="str">
        <x:v>2026-05-30 17:00:00</x:v>
      </x:c>
      <x:c r="E837" s="17" t="str">
        <x:v>Boeing</x:v>
      </x:c>
      <x:c r="F837" s="17" t="str">
        <x:v>Raphael Lima Moura - +55 (12) 98230-2518</x:v>
      </x:c>
      <x:c r="G837" s="17" t="str">
        <x:v>Concluído</x:v>
      </x:c>
      <x:c r="H837" s="17" t="str">
        <x:v>Pago</x:v>
      </x:c>
      <x:c r="I837" s="21" t="n">
        <x:v>396.05</x:v>
      </x:c>
    </x:row>
    <x:row r="838" ht="24" hidden="0" customHeight="1">
      <x:c r="A838" s="17" t="n">
        <x:v>838</x:v>
      </x:c>
      <x:c r="B838" s="17" t="str">
        <x:v>OP-1204</x:v>
      </x:c>
      <x:c r="C838" s="17" t="str">
        <x:v>OS-5732</x:v>
      </x:c>
      <x:c r="D838" s="17" t="str">
        <x:v>2026-05-30 17:45:00</x:v>
      </x:c>
      <x:c r="E838" s="17" t="str">
        <x:v>Johnson&amp;Johnson</x:v>
      </x:c>
      <x:c r="F838" s="17" t="str">
        <x:v>André Luis Santos - +55 (12) 99782-6618;
Genésio Matias de Souza - (12) 99764-5159</x:v>
      </x:c>
      <x:c r="G838" s="17" t="str">
        <x:v>Concluído</x:v>
      </x:c>
      <x:c r="H838" s="17" t="str">
        <x:v>Pago</x:v>
      </x:c>
      <x:c r="I838" s="21" t="n">
        <x:v>491.86</x:v>
      </x:c>
    </x:row>
    <x:row r="839" ht="15" hidden="0" customHeight="1">
      <x:c r="A839" s="17" t="n">
        <x:v>839</x:v>
      </x:c>
      <x:c r="B839" s="17" t="str">
        <x:v>OP-1182</x:v>
      </x:c>
      <x:c r="C839" s="17" t="str">
        <x:v>OS-5630</x:v>
      </x:c>
      <x:c r="D839" s="17" t="str">
        <x:v>2026-05-30 18:00:00</x:v>
      </x:c>
      <x:c r="E839" s="17" t="str">
        <x:v>Johnson&amp;Johnson</x:v>
      </x:c>
      <x:c r="F839" s="17" t="str">
        <x:v>Pedro Duque - (12) 99224-1558</x:v>
      </x:c>
      <x:c r="G839" s="17" t="str">
        <x:v>Concluído</x:v>
      </x:c>
      <x:c r="H839" s="17" t="str">
        <x:v>Pago</x:v>
      </x:c>
      <x:c r="I839" s="21" t="n">
        <x:v>442.98</x:v>
      </x:c>
    </x:row>
    <x:row r="840" ht="15" hidden="0" customHeight="1">
      <x:c r="A840" s="17" t="n">
        <x:v>840</x:v>
      </x:c>
      <x:c r="B840" s="17" t="str">
        <x:v>OP-1187</x:v>
      </x:c>
      <x:c r="C840" s="17" t="str">
        <x:v>OS-5536</x:v>
      </x:c>
      <x:c r="D840" s="17" t="str">
        <x:v>2026-05-31 08:30:00</x:v>
      </x:c>
      <x:c r="E840" s="17" t="str">
        <x:v>Johnson&amp;Johnson</x:v>
      </x:c>
      <x:c r="F840" s="17" t="str">
        <x:v>Alberto Cardoso - +55 12 99629-4747</x:v>
      </x:c>
      <x:c r="G840" s="17" t="str">
        <x:v>Cancelado</x:v>
      </x:c>
      <x:c r="H840" s="17" t="str">
        <x:v>Pago</x:v>
      </x:c>
      <x:c r="I840" s="21" t="n">
        <x:v>0</x:v>
      </x:c>
    </x:row>
    <x:row r="841" ht="15" hidden="0" customHeight="1">
      <x:c r="A841" s="17" t="n">
        <x:v>841</x:v>
      </x:c>
      <x:c r="B841" s="17" t="str">
        <x:v>OP-1187</x:v>
      </x:c>
      <x:c r="C841" s="17" t="str">
        <x:v>OS-5117</x:v>
      </x:c>
      <x:c r="D841" s="17" t="str">
        <x:v>2026-05-31 16:00:00</x:v>
      </x:c>
      <x:c r="E841" s="17" t="str">
        <x:v>Johnson&amp;Johnson</x:v>
      </x:c>
      <x:c r="F841" s="17" t="str">
        <x:v>Alberto Cardoso - +55 12 99629-4747</x:v>
      </x:c>
      <x:c r="G841" s="17" t="str">
        <x:v>Cancelado</x:v>
      </x:c>
      <x:c r="H841" s="17" t="str">
        <x:v>Pago</x:v>
      </x:c>
      <x:c r="I841" s="21" t="n">
        <x:v>0</x:v>
      </x:c>
    </x:row>
    <x:row r="842" ht="15" hidden="0" customHeight="1">
      <x:c r="A842" s="17" t="n">
        <x:v>842</x:v>
      </x:c>
      <x:c r="B842" s="17" t="str">
        <x:v>OP-1247</x:v>
      </x:c>
      <x:c r="C842" s="17" t="str">
        <x:v>OS-5739</x:v>
      </x:c>
      <x:c r="D842" s="17" t="str">
        <x:v>2026-05-31 17:00:00</x:v>
      </x:c>
      <x:c r="E842" s="17" t="str">
        <x:v>Boeing</x:v>
      </x:c>
      <x:c r="F842" s="17" t="str">
        <x:v>Rodrigo Ventura - +55 (12) 97403-8375</x:v>
      </x:c>
      <x:c r="G842" s="17" t="str">
        <x:v>Concluído</x:v>
      </x:c>
      <x:c r="H842" s="17" t="str">
        <x:v>Pagamento Pendente</x:v>
      </x:c>
      <x:c r="I842" s="21" t="n">
        <x:v>396.05</x:v>
      </x:c>
    </x:row>
    <x:row r="843" ht="15" hidden="0" customHeight="1">
      <x:c r="A843" s="17" t="n">
        <x:v>843</x:v>
      </x:c>
      <x:c r="B843" s="17" t="str">
        <x:v>OP-1248</x:v>
      </x:c>
      <x:c r="C843" s="17" t="str">
        <x:v>OS-5740</x:v>
      </x:c>
      <x:c r="D843" s="17" t="str">
        <x:v>2026-05-31 17:00:00</x:v>
      </x:c>
      <x:c r="E843" s="17" t="str">
        <x:v>Boeing</x:v>
      </x:c>
      <x:c r="F843" s="17" t="str">
        <x:v>Alvaro Reis - +1 (298) 138-9887-5512</x:v>
      </x:c>
      <x:c r="G843" s="17" t="str">
        <x:v>Concluído</x:v>
      </x:c>
      <x:c r="H843" s="17" t="str">
        <x:v>Pago</x:v>
      </x:c>
      <x:c r="I843" s="21" t="n">
        <x:v>396.05</x:v>
      </x:c>
    </x:row>
    <x:row r="844" ht="15" hidden="0" customHeight="1">
      <x:c r="A844" s="17" t="n">
        <x:v>844</x:v>
      </x:c>
      <x:c r="B844" s="17" t="str">
        <x:v>OP-1196</x:v>
      </x:c>
      <x:c r="C844" s="17" t="str">
        <x:v>OS-5747</x:v>
      </x:c>
      <x:c r="D844" s="17" t="str">
        <x:v>2026-06-01 05:00:00</x:v>
      </x:c>
      <x:c r="E844" s="17" t="str">
        <x:v>Johnson&amp;Johnson</x:v>
      </x:c>
      <x:c r="F844" s="17" t="str">
        <x:v>Jéssica Nery - 12</x:v>
      </x:c>
      <x:c r="G844" s="17" t="str">
        <x:v>Concluído</x:v>
      </x:c>
      <x:c r="H844" s="17" t="str">
        <x:v>Pago</x:v>
      </x:c>
      <x:c r="I844" s="21" t="n">
        <x:v>620.49</x:v>
      </x:c>
    </x:row>
    <x:row r="845" ht="15" hidden="0" customHeight="1">
      <x:c r="A845" s="17" t="n">
        <x:v>845</x:v>
      </x:c>
      <x:c r="B845" s="17" t="str">
        <x:v>OP-1197</x:v>
      </x:c>
      <x:c r="C845" s="17" t="str">
        <x:v>OS-5748</x:v>
      </x:c>
      <x:c r="D845" s="17" t="str">
        <x:v>2026-06-01 07:30:00</x:v>
      </x:c>
      <x:c r="E845" s="17" t="str">
        <x:v>Kenvue</x:v>
      </x:c>
      <x:c r="F845" s="17" t="str">
        <x:v>Ana Isabel Aristizabal - +57 321 800 4146</x:v>
      </x:c>
      <x:c r="G845" s="17" t="str">
        <x:v>Concluído</x:v>
      </x:c>
      <x:c r="H845" s="17" t="str">
        <x:v>Pago</x:v>
      </x:c>
      <x:c r="I845" s="21" t="n">
        <x:v>132.3</x:v>
      </x:c>
    </x:row>
    <x:row r="846" ht="24" hidden="0" customHeight="1">
      <x:c r="A846" s="17" t="n">
        <x:v>846</x:v>
      </x:c>
      <x:c r="B846" s="17" t="str">
        <x:v>OP-1188</x:v>
      </x:c>
      <x:c r="C846" s="17" t="str">
        <x:v>OS-5565</x:v>
      </x:c>
      <x:c r="D846" s="17" t="str">
        <x:v>2026-06-01 08:00:00</x:v>
      </x:c>
      <x:c r="E846" s="17" t="str">
        <x:v>Kenvue</x:v>
      </x:c>
      <x:c r="F846" s="17" t="str">
        <x:v>Carlos Lopes - +5512991472460;
Sushil Iyer - indeterminado</x:v>
      </x:c>
      <x:c r="G846" s="17" t="str">
        <x:v>Concluído</x:v>
      </x:c>
      <x:c r="H846" s="17" t="str">
        <x:v>Pago</x:v>
      </x:c>
      <x:c r="I846" s="21" t="n">
        <x:v>2175.03</x:v>
      </x:c>
    </x:row>
    <x:row r="847" ht="15" hidden="0" customHeight="1">
      <x:c r="A847" s="17" t="n">
        <x:v>847</x:v>
      </x:c>
      <x:c r="B847" s="17" t="str">
        <x:v>OP-1289</x:v>
      </x:c>
      <x:c r="C847" s="17" t="str">
        <x:v>OS-5762</x:v>
      </x:c>
      <x:c r="D847" s="17" t="str">
        <x:v>2026-06-01 08:30:00</x:v>
      </x:c>
      <x:c r="E847" s="17" t="str">
        <x:v>Johnson&amp;Johnson</x:v>
      </x:c>
      <x:c r="F847" s="17" t="str">
        <x:v>Alberto Cardoso - +55 12 99629-4747</x:v>
      </x:c>
      <x:c r="G847" s="17" t="str">
        <x:v>Concluído</x:v>
      </x:c>
      <x:c r="H847" s="17" t="str">
        <x:v>Pago</x:v>
      </x:c>
      <x:c r="I847" s="21" t="n">
        <x:v>139.58</x:v>
      </x:c>
    </x:row>
    <x:row r="848" ht="15" hidden="0" customHeight="1">
      <x:c r="A848" s="17" t="n">
        <x:v>848</x:v>
      </x:c>
      <x:c r="B848" s="17" t="str">
        <x:v>OP-1240</x:v>
      </x:c>
      <x:c r="C848" s="17" t="str">
        <x:v>OS-5698</x:v>
      </x:c>
      <x:c r="D848" s="17" t="str">
        <x:v>2026-06-01 09:00:00</x:v>
      </x:c>
      <x:c r="E848" s="17" t="str">
        <x:v>Johnson&amp;Johnson</x:v>
      </x:c>
      <x:c r="F848" s="17" t="str">
        <x:v>André L. Santos - (12) 99733-0415</x:v>
      </x:c>
      <x:c r="G848" s="17" t="str">
        <x:v>Concluído</x:v>
      </x:c>
      <x:c r="H848" s="17" t="str">
        <x:v>Pago</x:v>
      </x:c>
      <x:c r="I848" s="21" t="n">
        <x:v>1011.53</x:v>
      </x:c>
    </x:row>
    <x:row r="849" ht="15" hidden="0" customHeight="1">
      <x:c r="A849" s="17" t="n">
        <x:v>849</x:v>
      </x:c>
      <x:c r="B849" s="17" t="str">
        <x:v>OP-1198</x:v>
      </x:c>
      <x:c r="C849" s="17" t="str">
        <x:v>OS-5735</x:v>
      </x:c>
      <x:c r="D849" s="17" t="str">
        <x:v>2026-06-01 09:20:00</x:v>
      </x:c>
      <x:c r="E849" s="17" t="str">
        <x:v>Envoy Air Inc.</x:v>
      </x:c>
      <x:c r="F849" s="17" t="str">
        <x:v>James (Jim) Burden - indeterminado</x:v>
      </x:c>
      <x:c r="G849" s="17" t="str">
        <x:v>Concluído</x:v>
      </x:c>
      <x:c r="H849" s="17" t="str">
        <x:v>Composição Realizada</x:v>
      </x:c>
      <x:c r="I849" s="21" t="n">
        <x:v>584.75</x:v>
      </x:c>
    </x:row>
    <x:row r="850" ht="15" hidden="0" customHeight="1">
      <x:c r="A850" s="17" t="n">
        <x:v>850</x:v>
      </x:c>
      <x:c r="B850" s="17" t="str">
        <x:v>OP-1202</x:v>
      </x:c>
      <x:c r="C850" s="17" t="str">
        <x:v>OS-5746</x:v>
      </x:c>
      <x:c r="D850" s="17" t="str">
        <x:v>2026-06-01 09:40:00</x:v>
      </x:c>
      <x:c r="E850" s="17" t="str">
        <x:v>Particular</x:v>
      </x:c>
      <x:c r="F850" s="17" t="str">
        <x:v>Wesley Smith - indeterminado</x:v>
      </x:c>
      <x:c r="G850" s="17" t="str">
        <x:v>Concluído</x:v>
      </x:c>
      <x:c r="H850" s="17" t="str">
        <x:v>Pago</x:v>
      </x:c>
      <x:c r="I850" s="21" t="n">
        <x:v>464.1</x:v>
      </x:c>
    </x:row>
    <x:row r="851" ht="15" hidden="0" customHeight="1">
      <x:c r="A851" s="17" t="n">
        <x:v>851</x:v>
      </x:c>
      <x:c r="B851" s="17" t="str">
        <x:v>OP-1255</x:v>
      </x:c>
      <x:c r="C851" s="17" t="str">
        <x:v>OS-5750</x:v>
      </x:c>
      <x:c r="D851" s="17" t="str">
        <x:v>2026-06-01 11:00:00</x:v>
      </x:c>
      <x:c r="E851" s="17" t="str">
        <x:v>Particular</x:v>
      </x:c>
      <x:c r="F851" s="17" t="str">
        <x:v>Sra. Angela Oliveira - +55 (11) 98134-8101</x:v>
      </x:c>
      <x:c r="G851" s="17" t="str">
        <x:v>Concluído</x:v>
      </x:c>
      <x:c r="H851" s="17" t="str">
        <x:v>Pago</x:v>
      </x:c>
      <x:c r="I851" s="21" t="n">
        <x:v>650</x:v>
      </x:c>
    </x:row>
    <x:row r="852" ht="15" hidden="0" customHeight="1">
      <x:c r="A852" s="17" t="n">
        <x:v>852</x:v>
      </x:c>
      <x:c r="B852" s="17" t="str">
        <x:v>OP-1263</x:v>
      </x:c>
      <x:c r="C852" s="17" t="str">
        <x:v>OS-5238</x:v>
      </x:c>
      <x:c r="D852" s="17" t="str">
        <x:v>2026-06-01 11:55:00</x:v>
      </x:c>
      <x:c r="E852" s="17" t="str">
        <x:v>Ball Corporation</x:v>
      </x:c>
      <x:c r="F852" s="17" t="str">
        <x:v>Júlia Cordeiro - 12997635779</x:v>
      </x:c>
      <x:c r="G852" s="17" t="str">
        <x:v>Concluído</x:v>
      </x:c>
      <x:c r="H852" s="17" t="str">
        <x:v>Pago</x:v>
      </x:c>
      <x:c r="I852" s="21" t="n">
        <x:v>790</x:v>
      </x:c>
    </x:row>
    <x:row r="853" ht="15" hidden="0" customHeight="1">
      <x:c r="A853" s="17" t="n">
        <x:v>853</x:v>
      </x:c>
      <x:c r="B853" s="17" t="str">
        <x:v>OP-1260</x:v>
      </x:c>
      <x:c r="C853" s="17" t="str">
        <x:v>OS-5753</x:v>
      </x:c>
      <x:c r="D853" s="17" t="str">
        <x:v>2026-06-01 13:30:00</x:v>
      </x:c>
      <x:c r="E853" s="17" t="str">
        <x:v>Latasa Recicla BR</x:v>
      </x:c>
      <x:c r="F853" s="17" t="str">
        <x:v>Tiago Henrique Santos Xavier - (12) 99142-8629</x:v>
      </x:c>
      <x:c r="G853" s="17" t="str">
        <x:v>Concluído</x:v>
      </x:c>
      <x:c r="H853" s="17" t="str">
        <x:v>Composição Realizada</x:v>
      </x:c>
      <x:c r="I853" s="21" t="n">
        <x:v>85</x:v>
      </x:c>
    </x:row>
    <x:row r="854" ht="15" hidden="0" customHeight="1">
      <x:c r="A854" s="17" t="n">
        <x:v>854</x:v>
      </x:c>
      <x:c r="B854" s="17" t="str">
        <x:v>OP-1201</x:v>
      </x:c>
      <x:c r="C854" s="17" t="str">
        <x:v>OS-5394</x:v>
      </x:c>
      <x:c r="D854" s="17" t="str">
        <x:v>2026-06-01 14:00:00</x:v>
      </x:c>
      <x:c r="E854" s="17" t="str">
        <x:v>Johnson&amp;Johnson</x:v>
      </x:c>
      <x:c r="F854" s="17" t="str">
        <x:v>Karin Van Laethem</x:v>
      </x:c>
      <x:c r="G854" s="17" t="str">
        <x:v>Concluído</x:v>
      </x:c>
      <x:c r="H854" s="17" t="str">
        <x:v>Pago</x:v>
      </x:c>
      <x:c r="I854" s="21" t="n">
        <x:v>509.42</x:v>
      </x:c>
    </x:row>
    <x:row r="855" ht="15" hidden="0" customHeight="1">
      <x:c r="A855" s="17" t="n">
        <x:v>855</x:v>
      </x:c>
      <x:c r="B855" s="17" t="str">
        <x:v>OP-1289</x:v>
      </x:c>
      <x:c r="C855" s="17" t="str">
        <x:v>OS-5766</x:v>
      </x:c>
      <x:c r="D855" s="17" t="str">
        <x:v>2026-06-01 15:30:00</x:v>
      </x:c>
      <x:c r="E855" s="17" t="str">
        <x:v>Johnson&amp;Johnson</x:v>
      </x:c>
      <x:c r="F855" s="17" t="str">
        <x:v>Alberto Cardoso - +55 12 99629-4747</x:v>
      </x:c>
      <x:c r="G855" s="17" t="str">
        <x:v>Concluído</x:v>
      </x:c>
      <x:c r="H855" s="17" t="str">
        <x:v>Pago</x:v>
      </x:c>
      <x:c r="I855" s="21" t="n">
        <x:v>139.58</x:v>
      </x:c>
    </x:row>
    <x:row r="856" ht="15" hidden="0" customHeight="1">
      <x:c r="A856" s="17" t="n">
        <x:v>856</x:v>
      </x:c>
      <x:c r="B856" s="17" t="str">
        <x:v>OP-1288</x:v>
      </x:c>
      <x:c r="C856" s="17" t="str">
        <x:v>OS-5768</x:v>
      </x:c>
      <x:c r="D856" s="17" t="str">
        <x:v>2026-06-01 16:30:00</x:v>
      </x:c>
      <x:c r="E856" s="17" t="str">
        <x:v>Boeing</x:v>
      </x:c>
      <x:c r="F856" s="17" t="str">
        <x:v>Victor Fukushima - +55 (12) 98214-0275</x:v>
      </x:c>
      <x:c r="G856" s="17" t="str">
        <x:v>Concluído</x:v>
      </x:c>
      <x:c r="H856" s="17" t="str">
        <x:v>Pago</x:v>
      </x:c>
      <x:c r="I856" s="21" t="n">
        <x:v>396.05</x:v>
      </x:c>
    </x:row>
    <x:row r="857" ht="15" hidden="0" customHeight="1">
      <x:c r="A857" s="17" t="n">
        <x:v>857</x:v>
      </x:c>
      <x:c r="B857" s="17" t="str">
        <x:v>OP-1197</x:v>
      </x:c>
      <x:c r="C857" s="17" t="str">
        <x:v>OS-5749</x:v>
      </x:c>
      <x:c r="D857" s="17" t="str">
        <x:v>2026-06-01 17:30:00</x:v>
      </x:c>
      <x:c r="E857" s="17" t="str">
        <x:v>Kenvue</x:v>
      </x:c>
      <x:c r="F857" s="17" t="str">
        <x:v>Ana Isabel Aristizabal - +57 321 800 4146</x:v>
      </x:c>
      <x:c r="G857" s="17" t="str">
        <x:v>Cancelado</x:v>
      </x:c>
      <x:c r="H857" s="17" t="str">
        <x:v>Pago</x:v>
      </x:c>
      <x:c r="I857" s="21" t="n">
        <x:v>0</x:v>
      </x:c>
    </x:row>
    <x:row r="858" ht="15" hidden="0" customHeight="1">
      <x:c r="A858" s="17" t="n">
        <x:v>858</x:v>
      </x:c>
      <x:c r="B858" s="17" t="str">
        <x:v>OP-1257</x:v>
      </x:c>
      <x:c r="C858" s="17" t="str">
        <x:v>OS-5771</x:v>
      </x:c>
      <x:c r="D858" s="17" t="str">
        <x:v>2026-06-02 04:30:00</x:v>
      </x:c>
      <x:c r="E858" s="17" t="str">
        <x:v>Particular</x:v>
      </x:c>
      <x:c r="F858" s="17" t="str">
        <x:v>Giuliana Pessoa - +55 (12) 98118-1114</x:v>
      </x:c>
      <x:c r="G858" s="17" t="str">
        <x:v>Concluído</x:v>
      </x:c>
      <x:c r="H858" s="17" t="str">
        <x:v>Pago</x:v>
      </x:c>
      <x:c r="I858" s="21" t="n">
        <x:v>442.98</x:v>
      </x:c>
    </x:row>
    <x:row r="859" ht="15" hidden="0" customHeight="1">
      <x:c r="A859" s="17" t="n">
        <x:v>859</x:v>
      </x:c>
      <x:c r="B859" s="17" t="str">
        <x:v>OP-1284</x:v>
      </x:c>
      <x:c r="C859" s="17" t="str">
        <x:v>OS-5703</x:v>
      </x:c>
      <x:c r="D859" s="17" t="str">
        <x:v>2026-06-02 05:30:00</x:v>
      </x:c>
      <x:c r="E859" s="17" t="str">
        <x:v>Johnson&amp;Johnson</x:v>
      </x:c>
      <x:c r="F859" s="17" t="str">
        <x:v>Taysa Cristina de Oliveira  - 12988896236</x:v>
      </x:c>
      <x:c r="G859" s="17" t="str">
        <x:v>Concluído</x:v>
      </x:c>
      <x:c r="H859" s="17" t="str">
        <x:v>Pago</x:v>
      </x:c>
      <x:c r="I859" s="21" t="n">
        <x:v>849</x:v>
      </x:c>
    </x:row>
    <x:row r="860" ht="15" hidden="0" customHeight="1">
      <x:c r="A860" s="17" t="n">
        <x:v>860</x:v>
      </x:c>
      <x:c r="B860" s="17" t="str">
        <x:v>OP-1205</x:v>
      </x:c>
      <x:c r="C860" s="17" t="str">
        <x:v>OS-5757</x:v>
      </x:c>
      <x:c r="D860" s="17" t="str">
        <x:v>2026-06-02 06:00:00</x:v>
      </x:c>
      <x:c r="E860" s="17" t="str">
        <x:v>Johnson&amp;Johnson</x:v>
      </x:c>
      <x:c r="F860" s="17" t="str">
        <x:v>Fernanda Runha - +55 (12) 98122-8335</x:v>
      </x:c>
      <x:c r="G860" s="17" t="str">
        <x:v>Concluído</x:v>
      </x:c>
      <x:c r="H860" s="17" t="str">
        <x:v>Pago</x:v>
      </x:c>
      <x:c r="I860" s="21" t="n">
        <x:v>522.73</x:v>
      </x:c>
    </x:row>
    <x:row r="861" ht="15" hidden="0" customHeight="1">
      <x:c r="A861" s="17" t="n">
        <x:v>861</x:v>
      </x:c>
      <x:c r="B861" s="17" t="str">
        <x:v>OP-1289</x:v>
      </x:c>
      <x:c r="C861" s="17" t="str">
        <x:v>OS-5763</x:v>
      </x:c>
      <x:c r="D861" s="17" t="str">
        <x:v>2026-06-02 08:30:00</x:v>
      </x:c>
      <x:c r="E861" s="17" t="str">
        <x:v>Johnson&amp;Johnson</x:v>
      </x:c>
      <x:c r="F861" s="17" t="str">
        <x:v>Alberto Cardoso - +55 12 99629-4747</x:v>
      </x:c>
      <x:c r="G861" s="17" t="str">
        <x:v>Concluído</x:v>
      </x:c>
      <x:c r="H861" s="17" t="str">
        <x:v>Pago</x:v>
      </x:c>
      <x:c r="I861" s="21" t="n">
        <x:v>139.58</x:v>
      </x:c>
    </x:row>
    <x:row r="862" ht="15" hidden="0" customHeight="1">
      <x:c r="A862" s="17" t="n">
        <x:v>862</x:v>
      </x:c>
      <x:c r="B862" s="17" t="str">
        <x:v>OP-1240</x:v>
      </x:c>
      <x:c r="C862" s="17" t="str">
        <x:v>OS-5724</x:v>
      </x:c>
      <x:c r="D862" s="17" t="str">
        <x:v>2026-06-02 09:00:00</x:v>
      </x:c>
      <x:c r="E862" s="17" t="str">
        <x:v>Johnson&amp;Johnson</x:v>
      </x:c>
      <x:c r="F862" s="17" t="str">
        <x:v>Plínio Eugenio Meireles - 988792434</x:v>
      </x:c>
      <x:c r="G862" s="17" t="str">
        <x:v>Concluído</x:v>
      </x:c>
      <x:c r="H862" s="17" t="str">
        <x:v>Pago</x:v>
      </x:c>
      <x:c r="I862" s="21" t="n">
        <x:v>1304.81</x:v>
      </x:c>
    </x:row>
    <x:row r="863" ht="24" hidden="0" customHeight="1">
      <x:c r="A863" s="17" t="n">
        <x:v>863</x:v>
      </x:c>
      <x:c r="B863" s="17" t="str">
        <x:v>OP-1188</x:v>
      </x:c>
      <x:c r="C863" s="17" t="str">
        <x:v>OS-5629</x:v>
      </x:c>
      <x:c r="D863" s="17" t="str">
        <x:v>2026-06-02 09:00:00</x:v>
      </x:c>
      <x:c r="E863" s="17" t="str">
        <x:v>Kenvue</x:v>
      </x:c>
      <x:c r="F863" s="17" t="str">
        <x:v>Sushil Iyer - indeterminado;
Carlos Lopes - +55 (12) 99147-2460</x:v>
      </x:c>
      <x:c r="G863" s="17" t="str">
        <x:v>Concluído</x:v>
      </x:c>
      <x:c r="H863" s="17" t="str">
        <x:v>Pago</x:v>
      </x:c>
      <x:c r="I863" s="21" t="n">
        <x:v>1743.26</x:v>
      </x:c>
    </x:row>
    <x:row r="864" ht="15" hidden="0" customHeight="1">
      <x:c r="A864" s="17" t="n">
        <x:v>864</x:v>
      </x:c>
      <x:c r="B864" s="17" t="str">
        <x:v>OP-1289</x:v>
      </x:c>
      <x:c r="C864" s="17" t="str">
        <x:v>OS-5765</x:v>
      </x:c>
      <x:c r="D864" s="17" t="str">
        <x:v>2026-06-02 15:30:00</x:v>
      </x:c>
      <x:c r="E864" s="17" t="str">
        <x:v>Johnson&amp;Johnson</x:v>
      </x:c>
      <x:c r="F864" s="17" t="str">
        <x:v>Alberto Cardoso - +55 12 99629-4747</x:v>
      </x:c>
      <x:c r="G864" s="17" t="str">
        <x:v>Concluído</x:v>
      </x:c>
      <x:c r="H864" s="17" t="str">
        <x:v>Pago</x:v>
      </x:c>
      <x:c r="I864" s="21" t="n">
        <x:v>139.58</x:v>
      </x:c>
    </x:row>
    <x:row r="865" ht="15" hidden="0" customHeight="1">
      <x:c r="A865" s="17" t="n">
        <x:v>865</x:v>
      </x:c>
      <x:c r="B865" s="17" t="str">
        <x:v>OP-1188</x:v>
      </x:c>
      <x:c r="C865" s="17" t="str">
        <x:v>OS-5780</x:v>
      </x:c>
      <x:c r="D865" s="17" t="str">
        <x:v>2026-06-02 16:00:00</x:v>
      </x:c>
      <x:c r="E865" s="17" t="str">
        <x:v>Kenvue</x:v>
      </x:c>
      <x:c r="F865" s="17" t="str">
        <x:v>Carlos Lopes - +55 (12) 99147-2460</x:v>
      </x:c>
      <x:c r="G865" s="17" t="str">
        <x:v>Concluído</x:v>
      </x:c>
      <x:c r="H865" s="17" t="str">
        <x:v>Pago</x:v>
      </x:c>
      <x:c r="I865" s="21" t="n">
        <x:v>713.56</x:v>
      </x:c>
    </x:row>
    <x:row r="866" ht="15" hidden="0" customHeight="1">
      <x:c r="A866" s="17" t="n">
        <x:v>866</x:v>
      </x:c>
      <x:c r="B866" s="17" t="str">
        <x:v>OP-1289</x:v>
      </x:c>
      <x:c r="C866" s="17" t="str">
        <x:v>OS-5764</x:v>
      </x:c>
      <x:c r="D866" s="17" t="str">
        <x:v>2026-06-03 08:30:00</x:v>
      </x:c>
      <x:c r="E866" s="17" t="str">
        <x:v>Johnson&amp;Johnson</x:v>
      </x:c>
      <x:c r="F866" s="17" t="str">
        <x:v>Alberto Cardoso - +55 12 99629-4747</x:v>
      </x:c>
      <x:c r="G866" s="17" t="str">
        <x:v>Concluído</x:v>
      </x:c>
      <x:c r="H866" s="17" t="str">
        <x:v>Pago</x:v>
      </x:c>
      <x:c r="I866" s="21" t="n">
        <x:v>139.58</x:v>
      </x:c>
    </x:row>
    <x:row r="867" ht="15" hidden="0" customHeight="1">
      <x:c r="A867" s="17" t="n">
        <x:v>867</x:v>
      </x:c>
      <x:c r="B867" s="17" t="str">
        <x:v>OP-1197</x:v>
      </x:c>
      <x:c r="C867" s="17" t="str">
        <x:v>OS-5652</x:v>
      </x:c>
      <x:c r="D867" s="17" t="str">
        <x:v>2026-06-03 13:00:00</x:v>
      </x:c>
      <x:c r="E867" s="17" t="str">
        <x:v>Kenvue</x:v>
      </x:c>
      <x:c r="F867" s="17" t="str">
        <x:v>Ana Isabel Aristizabal - +57 321 800 4146</x:v>
      </x:c>
      <x:c r="G867" s="17" t="str">
        <x:v>Concluído</x:v>
      </x:c>
      <x:c r="H867" s="17" t="str">
        <x:v>Pago</x:v>
      </x:c>
      <x:c r="I867" s="21" t="n">
        <x:v>449</x:v>
      </x:c>
    </x:row>
    <x:row r="868" ht="15" hidden="0" customHeight="1">
      <x:c r="A868" s="17" t="n">
        <x:v>868</x:v>
      </x:c>
      <x:c r="B868" s="17" t="str">
        <x:v>OP-1260</x:v>
      </x:c>
      <x:c r="C868" s="17" t="str">
        <x:v>OS-5754</x:v>
      </x:c>
      <x:c r="D868" s="17" t="str">
        <x:v>2026-06-03 13:30:00</x:v>
      </x:c>
      <x:c r="E868" s="17" t="str">
        <x:v>Latasa Recicla BR</x:v>
      </x:c>
      <x:c r="F868" s="17" t="str">
        <x:v>Tiago Henrique Santos Xavier - (12) 99142-8629</x:v>
      </x:c>
      <x:c r="G868" s="17" t="str">
        <x:v>Concluído</x:v>
      </x:c>
      <x:c r="H868" s="17" t="str">
        <x:v>Composição Realizada</x:v>
      </x:c>
      <x:c r="I868" s="21" t="n">
        <x:v>85</x:v>
      </x:c>
    </x:row>
    <x:row r="869" ht="15" hidden="0" customHeight="1">
      <x:c r="A869" s="17" t="n">
        <x:v>869</x:v>
      </x:c>
      <x:c r="B869" s="17" t="str">
        <x:v>OP-1289</x:v>
      </x:c>
      <x:c r="C869" s="17" t="str">
        <x:v>OS-5850</x:v>
      </x:c>
      <x:c r="D869" s="17" t="str">
        <x:v>2026-06-03 15:00:00</x:v>
      </x:c>
      <x:c r="E869" s="17" t="str">
        <x:v>Johnson&amp;Johnson</x:v>
      </x:c>
      <x:c r="F869" s="17" t="str">
        <x:v>Alberto Cardoso - +55 (12) 99629-4747</x:v>
      </x:c>
      <x:c r="G869" s="17" t="str">
        <x:v>Concluído</x:v>
      </x:c>
      <x:c r="H869" s="17" t="str">
        <x:v>Pago</x:v>
      </x:c>
      <x:c r="I869" s="21" t="n">
        <x:v>139.58</x:v>
      </x:c>
    </x:row>
    <x:row r="870" ht="15" hidden="0" customHeight="1">
      <x:c r="A870" s="17" t="n">
        <x:v>870</x:v>
      </x:c>
      <x:c r="B870" s="17" t="str">
        <x:v>OP-1198</x:v>
      </x:c>
      <x:c r="C870" s="17" t="str">
        <x:v>OS-5736</x:v>
      </x:c>
      <x:c r="D870" s="17" t="str">
        <x:v>2026-06-03 17:30:00</x:v>
      </x:c>
      <x:c r="E870" s="17" t="str">
        <x:v>Envoy Air Inc.</x:v>
      </x:c>
      <x:c r="F870" s="17" t="str">
        <x:v>James (Jim) Burden - indeterminado</x:v>
      </x:c>
      <x:c r="G870" s="17" t="str">
        <x:v>Concluído</x:v>
      </x:c>
      <x:c r="H870" s="17" t="str">
        <x:v>Composição Realizada</x:v>
      </x:c>
      <x:c r="I870" s="21" t="n">
        <x:v>517.75</x:v>
      </x:c>
    </x:row>
    <x:row r="871" ht="15" hidden="0" customHeight="1">
      <x:c r="A871" s="17" t="n">
        <x:v>871</x:v>
      </x:c>
      <x:c r="B871" s="17" t="str">
        <x:v>OP-1199</x:v>
      </x:c>
      <x:c r="C871" s="17" t="str">
        <x:v>OS-5909</x:v>
      </x:c>
      <x:c r="D871" s="17" t="str">
        <x:v>2026-06-04 04:30:00</x:v>
      </x:c>
      <x:c r="E871" s="17" t="str">
        <x:v>Johnson&amp;Johnson</x:v>
      </x:c>
      <x:c r="F871" s="17" t="str">
        <x:v>Oscar Montes - indeterminado</x:v>
      </x:c>
      <x:c r="G871" s="17" t="str">
        <x:v>Concluído</x:v>
      </x:c>
      <x:c r="H871" s="17" t="str">
        <x:v>Pago</x:v>
      </x:c>
      <x:c r="I871" s="21" t="n">
        <x:v>509.42</x:v>
      </x:c>
    </x:row>
    <x:row r="872" ht="15" hidden="0" customHeight="1">
      <x:c r="A872" s="17" t="n">
        <x:v>872</x:v>
      </x:c>
      <x:c r="B872" s="17" t="str">
        <x:v>OP-1289</x:v>
      </x:c>
      <x:c r="C872" s="17" t="str">
        <x:v>OS-5807</x:v>
      </x:c>
      <x:c r="D872" s="17" t="str">
        <x:v>2026-06-04 06:15:00</x:v>
      </x:c>
      <x:c r="E872" s="17" t="str">
        <x:v>Johnson&amp;Johnson</x:v>
      </x:c>
      <x:c r="F872" s="17" t="str">
        <x:v>Alberto Cardoso - +55 (12) 99629-4747</x:v>
      </x:c>
      <x:c r="G872" s="17" t="str">
        <x:v>Concluído</x:v>
      </x:c>
      <x:c r="H872" s="17" t="str">
        <x:v>Pago</x:v>
      </x:c>
      <x:c r="I872" s="21" t="n">
        <x:v>139.58</x:v>
      </x:c>
    </x:row>
    <x:row r="873" ht="24" hidden="0" customHeight="1">
      <x:c r="A873" s="17" t="n">
        <x:v>873</x:v>
      </x:c>
      <x:c r="B873" s="17" t="str">
        <x:v>OP-1266</x:v>
      </x:c>
      <x:c r="C873" s="17" t="str">
        <x:v>OS-5655</x:v>
      </x:c>
      <x:c r="D873" s="17" t="str">
        <x:v>2026-06-04 07:00:00</x:v>
      </x:c>
      <x:c r="E873" s="17" t="str">
        <x:v>Johnson&amp;Johnson</x:v>
      </x:c>
      <x:c r="F873" s="17" t="str">
        <x:v>Paulo Plascido - indeterminado;
Alenka Brzulja - indeterminado</x:v>
      </x:c>
      <x:c r="G873" s="17" t="str">
        <x:v>Concluído</x:v>
      </x:c>
      <x:c r="H873" s="17" t="str">
        <x:v>Pago</x:v>
      </x:c>
      <x:c r="I873" s="21" t="n">
        <x:v>4573.98</x:v>
      </x:c>
    </x:row>
    <x:row r="874" ht="15" hidden="0" customHeight="1">
      <x:c r="A874" s="17" t="n">
        <x:v>874</x:v>
      </x:c>
      <x:c r="B874" s="17" t="str">
        <x:v>OP-1228</x:v>
      </x:c>
      <x:c r="C874" s="17" t="str">
        <x:v>OS-5128</x:v>
      </x:c>
      <x:c r="D874" s="17" t="str">
        <x:v>2026-06-04 09:30:00</x:v>
      </x:c>
      <x:c r="E874" s="17" t="str">
        <x:v>Johnson&amp;Johnson</x:v>
      </x:c>
      <x:c r="F874" s="17" t="str">
        <x:v>Lucas G. Pizzato - +55 12 99723-5606</x:v>
      </x:c>
      <x:c r="G874" s="17" t="str">
        <x:v>Concluído</x:v>
      </x:c>
      <x:c r="H874" s="17" t="str">
        <x:v>Pago</x:v>
      </x:c>
      <x:c r="I874" s="21" t="n">
        <x:v>509.98</x:v>
      </x:c>
    </x:row>
    <x:row r="875" ht="15" hidden="0" customHeight="1">
      <x:c r="A875" s="17" t="n">
        <x:v>875</x:v>
      </x:c>
      <x:c r="B875" s="17" t="str">
        <x:v>OP-1289</x:v>
      </x:c>
      <x:c r="C875" s="17" t="str">
        <x:v>OS-5851</x:v>
      </x:c>
      <x:c r="D875" s="17" t="str">
        <x:v>2026-06-04 11:00:00</x:v>
      </x:c>
      <x:c r="E875" s="17" t="str">
        <x:v>Johnson&amp;Johnson</x:v>
      </x:c>
      <x:c r="F875" s="17" t="str">
        <x:v>Alberto Cardoso - +55 (12) 99629-4747</x:v>
      </x:c>
      <x:c r="G875" s="17" t="str">
        <x:v>Concluído</x:v>
      </x:c>
      <x:c r="H875" s="17" t="str">
        <x:v>Pago</x:v>
      </x:c>
      <x:c r="I875" s="21" t="n">
        <x:v>139.58</x:v>
      </x:c>
    </x:row>
    <x:row r="876" ht="15" hidden="0" customHeight="1">
      <x:c r="A876" s="17" t="n">
        <x:v>876</x:v>
      </x:c>
      <x:c r="B876" s="17" t="str">
        <x:v>OP-1317</x:v>
      </x:c>
      <x:c r="C876" s="17" t="str">
        <x:v>OS-5923</x:v>
      </x:c>
      <x:c r="D876" s="17" t="str">
        <x:v>2026-06-04 11:00:00</x:v>
      </x:c>
      <x:c r="E876" s="17" t="str">
        <x:v>Kenvue</x:v>
      </x:c>
      <x:c r="F876" s="17" t="str">
        <x:v>Jeison Souza - indeterminado</x:v>
      </x:c>
      <x:c r="G876" s="17" t="str">
        <x:v>Concluído</x:v>
      </x:c>
      <x:c r="H876" s="17" t="str">
        <x:v>Pago</x:v>
      </x:c>
      <x:c r="I876" s="21" t="n">
        <x:v>2590</x:v>
      </x:c>
    </x:row>
    <x:row r="877" ht="15" hidden="0" customHeight="1">
      <x:c r="A877" s="17" t="n">
        <x:v>877</x:v>
      </x:c>
      <x:c r="B877" s="17" t="str">
        <x:v>OP-1201</x:v>
      </x:c>
      <x:c r="C877" s="17" t="str">
        <x:v>OS-5392</x:v>
      </x:c>
      <x:c r="D877" s="17" t="str">
        <x:v>2026-06-04 13:15:00</x:v>
      </x:c>
      <x:c r="E877" s="17" t="str">
        <x:v>Johnson&amp;Johnson</x:v>
      </x:c>
      <x:c r="F877" s="17" t="str">
        <x:v>Felipe Barreto - indeterminado</x:v>
      </x:c>
      <x:c r="G877" s="17" t="str">
        <x:v>Concluído</x:v>
      </x:c>
      <x:c r="H877" s="17" t="str">
        <x:v>Pago</x:v>
      </x:c>
      <x:c r="I877" s="21" t="n">
        <x:v>509.42</x:v>
      </x:c>
    </x:row>
    <x:row r="878" ht="15" hidden="0" customHeight="1">
      <x:c r="A878" s="17" t="n">
        <x:v>878</x:v>
      </x:c>
      <x:c r="B878" s="17" t="str">
        <x:v>OP-1202</x:v>
      </x:c>
      <x:c r="C878" s="17" t="str">
        <x:v>OS-5894</x:v>
      </x:c>
      <x:c r="D878" s="17" t="str">
        <x:v>2026-06-04 16:00:00</x:v>
      </x:c>
      <x:c r="E878" s="17" t="str">
        <x:v>Particular</x:v>
      </x:c>
      <x:c r="F878" s="17" t="str">
        <x:v>Wesley Smith - +1 (406) 855-6592</x:v>
      </x:c>
      <x:c r="G878" s="17" t="str">
        <x:v>Concluído</x:v>
      </x:c>
      <x:c r="H878" s="17" t="str">
        <x:v>Pago</x:v>
      </x:c>
      <x:c r="I878" s="21" t="n">
        <x:v>464.1</x:v>
      </x:c>
    </x:row>
    <x:row r="879" ht="15" hidden="0" customHeight="1">
      <x:c r="A879" s="17" t="n">
        <x:v>879</x:v>
      </x:c>
      <x:c r="B879" s="17" t="str">
        <x:v>OP-1257</x:v>
      </x:c>
      <x:c r="C879" s="17" t="str">
        <x:v>OS-5991</x:v>
      </x:c>
      <x:c r="D879" s="17" t="str">
        <x:v>2026-06-04 21:20:00</x:v>
      </x:c>
      <x:c r="E879" s="17" t="str">
        <x:v>Particular</x:v>
      </x:c>
      <x:c r="F879" s="17" t="str">
        <x:v>Giuliana Pessoa - +55 (12) 98118-1114</x:v>
      </x:c>
      <x:c r="G879" s="17" t="str">
        <x:v>Concluído</x:v>
      </x:c>
      <x:c r="H879" s="17" t="str">
        <x:v>Pago</x:v>
      </x:c>
      <x:c r="I879" s="21" t="n">
        <x:v>509.98</x:v>
      </x:c>
    </x:row>
    <x:row r="880" ht="15" hidden="0" customHeight="1">
      <x:c r="A880" s="17" t="n">
        <x:v>880</x:v>
      </x:c>
      <x:c r="B880" s="17" t="str">
        <x:v>OP-1265</x:v>
      </x:c>
      <x:c r="C880" s="17" t="str">
        <x:v>OS-5699</x:v>
      </x:c>
      <x:c r="D880" s="17" t="str">
        <x:v>2026-06-05 05:40:00</x:v>
      </x:c>
      <x:c r="E880" s="17" t="str">
        <x:v>Kenvue</x:v>
      </x:c>
      <x:c r="F880" s="17" t="str">
        <x:v>Waleska Albino Rodríguez - +1 813 210 4807</x:v>
      </x:c>
      <x:c r="G880" s="17" t="str">
        <x:v>Concluído</x:v>
      </x:c>
      <x:c r="H880" s="17" t="str">
        <x:v>Pago</x:v>
      </x:c>
      <x:c r="I880" s="21" t="n">
        <x:v>687.49</x:v>
      </x:c>
    </x:row>
    <x:row r="881" ht="15" hidden="0" customHeight="1">
      <x:c r="A881" s="17" t="n">
        <x:v>881</x:v>
      </x:c>
      <x:c r="B881" s="17" t="str">
        <x:v>OP-1266</x:v>
      </x:c>
      <x:c r="C881" s="17" t="str">
        <x:v>OS-5659</x:v>
      </x:c>
      <x:c r="D881" s="17" t="str">
        <x:v>2026-06-05 07:00:00</x:v>
      </x:c>
      <x:c r="E881" s="17" t="str">
        <x:v>Johnson&amp;Johnson</x:v>
      </x:c>
      <x:c r="F881" s="17" t="str">
        <x:v>Alenka Brzulja - indeterminado</x:v>
      </x:c>
      <x:c r="G881" s="17" t="str">
        <x:v>Cancelado</x:v>
      </x:c>
      <x:c r="H881" s="17" t="str">
        <x:v>Pago</x:v>
      </x:c>
      <x:c r="I881" s="21" t="n">
        <x:v>0</x:v>
      </x:c>
    </x:row>
    <x:row r="882" ht="15" hidden="0" customHeight="1">
      <x:c r="A882" s="17" t="n">
        <x:v>882</x:v>
      </x:c>
      <x:c r="B882" s="17" t="str">
        <x:v>OP-1289</x:v>
      </x:c>
      <x:c r="C882" s="17" t="str">
        <x:v>OS-5808</x:v>
      </x:c>
      <x:c r="D882" s="17" t="str">
        <x:v>2026-06-05 08:30:00</x:v>
      </x:c>
      <x:c r="E882" s="17" t="str">
        <x:v>Johnson&amp;Johnson</x:v>
      </x:c>
      <x:c r="F882" s="17" t="str">
        <x:v>Alberto Cardoso - +55 (12) 99629-4747</x:v>
      </x:c>
      <x:c r="G882" s="17" t="str">
        <x:v>Concluído</x:v>
      </x:c>
      <x:c r="H882" s="17" t="str">
        <x:v>Pago</x:v>
      </x:c>
      <x:c r="I882" s="21" t="n">
        <x:v>139.58</x:v>
      </x:c>
    </x:row>
    <x:row r="883" ht="15" hidden="0" customHeight="1">
      <x:c r="A883" s="17" t="n">
        <x:v>883</x:v>
      </x:c>
      <x:c r="B883" s="17" t="str">
        <x:v>OP-1266</x:v>
      </x:c>
      <x:c r="C883" s="17" t="str">
        <x:v>OS-5657</x:v>
      </x:c>
      <x:c r="D883" s="17" t="str">
        <x:v>2026-06-05 08:45:00</x:v>
      </x:c>
      <x:c r="E883" s="17" t="str">
        <x:v>Johnson&amp;Johnson</x:v>
      </x:c>
      <x:c r="F883" s="17" t="str">
        <x:v>Alenka Brzulja - indeterminado</x:v>
      </x:c>
      <x:c r="G883" s="17" t="str">
        <x:v>Concluído</x:v>
      </x:c>
      <x:c r="H883" s="17" t="str">
        <x:v>Pago</x:v>
      </x:c>
      <x:c r="I883" s="21" t="n">
        <x:v>725.01</x:v>
      </x:c>
    </x:row>
    <x:row r="884" ht="15" hidden="0" customHeight="1">
      <x:c r="A884" s="17" t="n">
        <x:v>884</x:v>
      </x:c>
      <x:c r="B884" s="17" t="str">
        <x:v>OP-1266</x:v>
      </x:c>
      <x:c r="C884" s="17" t="str">
        <x:v>OS-5658</x:v>
      </x:c>
      <x:c r="D884" s="17" t="str">
        <x:v>2026-06-05 13:00:00</x:v>
      </x:c>
      <x:c r="E884" s="17" t="str">
        <x:v>Johnson&amp;Johnson</x:v>
      </x:c>
      <x:c r="F884" s="17" t="str">
        <x:v>Alenka Brzulja - indeterminado</x:v>
      </x:c>
      <x:c r="G884" s="17" t="str">
        <x:v>Concluído</x:v>
      </x:c>
      <x:c r="H884" s="17" t="str">
        <x:v>Pago</x:v>
      </x:c>
      <x:c r="I884" s="21" t="n">
        <x:v>1695.04</x:v>
      </x:c>
    </x:row>
    <x:row r="885" ht="15" hidden="0" customHeight="1">
      <x:c r="A885" s="17" t="n">
        <x:v>885</x:v>
      </x:c>
      <x:c r="B885" s="17" t="str">
        <x:v>OP-1276</x:v>
      </x:c>
      <x:c r="C885" s="17" t="str">
        <x:v>OS-5674</x:v>
      </x:c>
      <x:c r="D885" s="17" t="str">
        <x:v>2026-06-05 14:00:00</x:v>
      </x:c>
      <x:c r="E885" s="17" t="str">
        <x:v>Johnson&amp;Johnson</x:v>
      </x:c>
      <x:c r="F885" s="17" t="str">
        <x:v>Marcelo Moreira - (12) 99169-0099</x:v>
      </x:c>
      <x:c r="G885" s="17" t="str">
        <x:v>Concluído</x:v>
      </x:c>
      <x:c r="H885" s="17" t="str">
        <x:v>Pago</x:v>
      </x:c>
      <x:c r="I885" s="21" t="n">
        <x:v>442.98</x:v>
      </x:c>
    </x:row>
    <x:row r="886" ht="15" hidden="0" customHeight="1">
      <x:c r="A886" s="17" t="n">
        <x:v>886</x:v>
      </x:c>
      <x:c r="B886" s="17" t="str">
        <x:v>OP-1266</x:v>
      </x:c>
      <x:c r="C886" s="17" t="str">
        <x:v>OS-5660</x:v>
      </x:c>
      <x:c r="D886" s="17" t="str">
        <x:v>2026-06-05 17:40:00</x:v>
      </x:c>
      <x:c r="E886" s="17" t="str">
        <x:v>Johnson&amp;Johnson</x:v>
      </x:c>
      <x:c r="F886" s="17" t="str">
        <x:v>Alenka Brzulja - indeterminado</x:v>
      </x:c>
      <x:c r="G886" s="17" t="str">
        <x:v>Concluído</x:v>
      </x:c>
      <x:c r="H886" s="17" t="str">
        <x:v>Pago</x:v>
      </x:c>
      <x:c r="I886" s="21" t="n">
        <x:v>1116.9</x:v>
      </x:c>
    </x:row>
    <x:row r="887" ht="15" hidden="0" customHeight="1">
      <x:c r="A887" s="17" t="n">
        <x:v>887</x:v>
      </x:c>
      <x:c r="B887" s="17" t="str">
        <x:v>OP-1260</x:v>
      </x:c>
      <x:c r="C887" s="17" t="str">
        <x:v>OS-5999</x:v>
      </x:c>
      <x:c r="D887" s="17" t="str">
        <x:v>2026-06-05 19:00:00</x:v>
      </x:c>
      <x:c r="E887" s="17" t="str">
        <x:v>Latasa Recicla BR</x:v>
      </x:c>
      <x:c r="F887" s="17" t="str">
        <x:v>Leticia Borges da Silva - indeterminado</x:v>
      </x:c>
      <x:c r="G887" s="17" t="str">
        <x:v>Concluído</x:v>
      </x:c>
      <x:c r="H887" s="17" t="str">
        <x:v>Composição Realizada</x:v>
      </x:c>
      <x:c r="I887" s="21" t="n">
        <x:v>85</x:v>
      </x:c>
    </x:row>
    <x:row r="888" ht="15" hidden="0" customHeight="1">
      <x:c r="A888" s="17" t="n">
        <x:v>888</x:v>
      </x:c>
      <x:c r="B888" s="17" t="str">
        <x:v>OP-1259</x:v>
      </x:c>
      <x:c r="C888" s="17" t="str">
        <x:v>OS-5994</x:v>
      </x:c>
      <x:c r="D888" s="17" t="str">
        <x:v>2026-06-06 06:30:00</x:v>
      </x:c>
      <x:c r="E888" s="17" t="str">
        <x:v>Boeing</x:v>
      </x:c>
      <x:c r="F888" s="17" t="str">
        <x:v>Ronaldo Rogeri - +55 (12) 99700-4607</x:v>
      </x:c>
      <x:c r="G888" s="17" t="str">
        <x:v>Concluído</x:v>
      </x:c>
      <x:c r="H888" s="17" t="str">
        <x:v>Pago</x:v>
      </x:c>
      <x:c r="I888" s="21" t="n">
        <x:v>463.05</x:v>
      </x:c>
    </x:row>
    <x:row r="889" ht="24" hidden="0" customHeight="1">
      <x:c r="A889" s="17" t="n">
        <x:v>889</x:v>
      </x:c>
      <x:c r="B889" s="17" t="str">
        <x:v>OP-1204</x:v>
      </x:c>
      <x:c r="C889" s="17" t="str">
        <x:v>OS-5733</x:v>
      </x:c>
      <x:c r="D889" s="17" t="str">
        <x:v>2026-06-06 07:30:00</x:v>
      </x:c>
      <x:c r="E889" s="17" t="str">
        <x:v>Johnson&amp;Johnson</x:v>
      </x:c>
      <x:c r="F889" s="17" t="str">
        <x:v>André Luis Santos - +55 (12) 99782-6618;
Genésio Matias de Souza - (12) 99764-5159</x:v>
      </x:c>
      <x:c r="G889" s="17" t="str">
        <x:v>Concluído</x:v>
      </x:c>
      <x:c r="H889" s="17" t="str">
        <x:v>Pago</x:v>
      </x:c>
      <x:c r="I889" s="21" t="n">
        <x:v>558.86</x:v>
      </x:c>
    </x:row>
    <x:row r="890" ht="24" hidden="0" customHeight="1">
      <x:c r="A890" s="17" t="n">
        <x:v>890</x:v>
      </x:c>
      <x:c r="B890" s="17" t="str">
        <x:v>OP-1251</x:v>
      </x:c>
      <x:c r="C890" s="17" t="str">
        <x:v>OS-5924</x:v>
      </x:c>
      <x:c r="D890" s="17" t="str">
        <x:v>2026-06-06 16:30:00</x:v>
      </x:c>
      <x:c r="E890" s="17" t="str">
        <x:v>Johnson&amp;Johnson</x:v>
      </x:c>
      <x:c r="F890" s="17" t="str">
        <x:v>Luciana Yagui - +55 (12) 99123-3288;
Marcos Vinicius dos Santos - (12) 99783-8214</x:v>
      </x:c>
      <x:c r="G890" s="17" t="str">
        <x:v>Concluído</x:v>
      </x:c>
      <x:c r="H890" s="17" t="str">
        <x:v>Pago</x:v>
      </x:c>
      <x:c r="I890" s="21" t="n">
        <x:v>491.86</x:v>
      </x:c>
    </x:row>
    <x:row r="891" ht="15" hidden="0" customHeight="1">
      <x:c r="A891" s="17" t="n">
        <x:v>891</x:v>
      </x:c>
      <x:c r="B891" s="17" t="str">
        <x:v>OP-1245</x:v>
      </x:c>
      <x:c r="C891" s="17" t="str">
        <x:v>OS-5645</x:v>
      </x:c>
      <x:c r="D891" s="17" t="str">
        <x:v>2026-06-06 17:00:00</x:v>
      </x:c>
      <x:c r="E891" s="17" t="str">
        <x:v>Johnson&amp;Johnson</x:v>
      </x:c>
      <x:c r="F891" s="17" t="str">
        <x:v>Maíra Marion Martins - 12 98156-1407</x:v>
      </x:c>
      <x:c r="G891" s="17" t="str">
        <x:v>Concluído</x:v>
      </x:c>
      <x:c r="H891" s="17" t="str">
        <x:v>Pago</x:v>
      </x:c>
      <x:c r="I891" s="21" t="n">
        <x:v>442.98</x:v>
      </x:c>
    </x:row>
    <x:row r="892" ht="15" hidden="0" customHeight="1">
      <x:c r="A892" s="17" t="n">
        <x:v>892</x:v>
      </x:c>
      <x:c r="B892" s="17" t="str">
        <x:v>OP-1203</x:v>
      </x:c>
      <x:c r="C892" s="17" t="str">
        <x:v>OS-5439</x:v>
      </x:c>
      <x:c r="D892" s="17" t="str">
        <x:v>2026-06-07 01:10:00</x:v>
      </x:c>
      <x:c r="E892" s="17" t="str">
        <x:v>Johnson&amp;Johnson</x:v>
      </x:c>
      <x:c r="F892" s="17" t="str">
        <x:v>Natalia Cristina Mor - 12 98140-2982 </x:v>
      </x:c>
      <x:c r="G892" s="17" t="str">
        <x:v>Concluído</x:v>
      </x:c>
      <x:c r="H892" s="17" t="str">
        <x:v>Pago</x:v>
      </x:c>
      <x:c r="I892" s="21" t="n">
        <x:v>509.98</x:v>
      </x:c>
    </x:row>
    <x:row r="893" ht="36" hidden="0" customHeight="1">
      <x:c r="A893" s="17" t="n">
        <x:v>893</x:v>
      </x:c>
      <x:c r="B893" s="17" t="str">
        <x:v>OP-1218</x:v>
      </x:c>
      <x:c r="C893" s="17" t="str">
        <x:v>OS-5921</x:v>
      </x:c>
      <x:c r="D893" s="17" t="str">
        <x:v>2026-06-07 07:00:00</x:v>
      </x:c>
      <x:c r="E893" s="17" t="str">
        <x:v>Kenvue</x:v>
      </x:c>
      <x:c r="F893" s="17" t="str">
        <x:v>Amy Demunno - indeterminado;
Ashley Crandall - indeterminado;
Patrick O’doyle - indeterminado</x:v>
      </x:c>
      <x:c r="G893" s="17" t="str">
        <x:v>Concluído</x:v>
      </x:c>
      <x:c r="H893" s="17" t="str">
        <x:v>Pago</x:v>
      </x:c>
      <x:c r="I893" s="21" t="n">
        <x:v>687.49</x:v>
      </x:c>
    </x:row>
    <x:row r="894" ht="15" hidden="0" customHeight="1">
      <x:c r="A894" s="17" t="n">
        <x:v>894</x:v>
      </x:c>
      <x:c r="B894" s="17" t="str">
        <x:v>OP-1223</x:v>
      </x:c>
      <x:c r="C894" s="17" t="str">
        <x:v>OS-5997</x:v>
      </x:c>
      <x:c r="D894" s="17" t="str">
        <x:v>2026-06-07 08:00:00</x:v>
      </x:c>
      <x:c r="E894" s="17" t="str">
        <x:v>Kenvue</x:v>
      </x:c>
      <x:c r="F894" s="17" t="str">
        <x:v>Sowmya Mandanapu - indeterminado</x:v>
      </x:c>
      <x:c r="G894" s="17" t="str">
        <x:v>Concluído</x:v>
      </x:c>
      <x:c r="H894" s="17" t="str">
        <x:v>Pago</x:v>
      </x:c>
      <x:c r="I894" s="21" t="n">
        <x:v>687.49</x:v>
      </x:c>
    </x:row>
    <x:row r="895" ht="15" hidden="0" customHeight="1">
      <x:c r="A895" s="17" t="n">
        <x:v>895</x:v>
      </x:c>
      <x:c r="B895" s="17" t="str">
        <x:v>OP-1224</x:v>
      </x:c>
      <x:c r="C895" s="17" t="str">
        <x:v>OS-5048</x:v>
      </x:c>
      <x:c r="D895" s="17" t="str">
        <x:v>2026-06-07 09:30:00</x:v>
      </x:c>
      <x:c r="E895" s="17" t="str">
        <x:v>Boeing</x:v>
      </x:c>
      <x:c r="F895" s="17" t="str">
        <x:v>Alfredo Senda - 12 98154 8338</x:v>
      </x:c>
      <x:c r="G895" s="17" t="str">
        <x:v>Concluído</x:v>
      </x:c>
      <x:c r="H895" s="17" t="str">
        <x:v>Pago</x:v>
      </x:c>
      <x:c r="I895" s="21" t="n">
        <x:v>463.05</x:v>
      </x:c>
    </x:row>
    <x:row r="896" ht="15" hidden="0" customHeight="1">
      <x:c r="A896" s="17" t="n">
        <x:v>896</x:v>
      </x:c>
      <x:c r="B896" s="17" t="str">
        <x:v>OP-1222</x:v>
      </x:c>
      <x:c r="C896" s="17" t="str">
        <x:v>OS-5623</x:v>
      </x:c>
      <x:c r="D896" s="17" t="str">
        <x:v>2026-06-07 12:00:00</x:v>
      </x:c>
      <x:c r="E896" s="17" t="str">
        <x:v>Tenaris</x:v>
      </x:c>
      <x:c r="F896" s="17" t="str">
        <x:v>Chengliang Chad - +966500797746</x:v>
      </x:c>
      <x:c r="G896" s="17" t="str">
        <x:v>Concluído</x:v>
      </x:c>
      <x:c r="H896" s="17" t="str">
        <x:v>Faturamento Mensal</x:v>
      </x:c>
      <x:c r="I896" s="21" t="n">
        <x:v>615.33</x:v>
      </x:c>
    </x:row>
    <x:row r="897" ht="15" hidden="0" customHeight="1">
      <x:c r="A897" s="17" t="n">
        <x:v>897</x:v>
      </x:c>
      <x:c r="B897" s="17" t="str">
        <x:v>OP-1243</x:v>
      </x:c>
      <x:c r="C897" s="17" t="str">
        <x:v>OS-5995</x:v>
      </x:c>
      <x:c r="D897" s="17" t="str">
        <x:v>2026-06-07 17:55:00</x:v>
      </x:c>
      <x:c r="E897" s="17" t="str">
        <x:v>HCL</x:v>
      </x:c>
      <x:c r="F897" s="17" t="str">
        <x:v>Bala - +1 (346) 762-3565</x:v>
      </x:c>
      <x:c r="G897" s="17" t="str">
        <x:v>Concluído</x:v>
      </x:c>
      <x:c r="H897" s="17" t="str">
        <x:v>Pago</x:v>
      </x:c>
      <x:c r="I897" s="21" t="n">
        <x:v>950</x:v>
      </x:c>
    </x:row>
    <x:row r="898" ht="15" hidden="0" customHeight="1">
      <x:c r="A898" s="17" t="n">
        <x:v>898</x:v>
      </x:c>
      <x:c r="B898" s="17" t="str">
        <x:v>OP-1254</x:v>
      </x:c>
      <x:c r="C898" s="17" t="str">
        <x:v>OS-6016</x:v>
      </x:c>
      <x:c r="D898" s="17" t="str">
        <x:v>2026-06-07 19:00:00</x:v>
      </x:c>
      <x:c r="E898" s="17" t="str">
        <x:v>Boeing</x:v>
      </x:c>
      <x:c r="F898" s="17" t="str">
        <x:v>Carla Novais - +55 (12) 98173-7971</x:v>
      </x:c>
      <x:c r="G898" s="17" t="str">
        <x:v>Concluído</x:v>
      </x:c>
      <x:c r="H898" s="17" t="str">
        <x:v>Pago</x:v>
      </x:c>
      <x:c r="I898" s="21" t="n">
        <x:v>396.05</x:v>
      </x:c>
    </x:row>
    <x:row r="899" ht="24" hidden="0" customHeight="1">
      <x:c r="A899" s="17" t="n">
        <x:v>899</x:v>
      </x:c>
      <x:c r="B899" s="17" t="str">
        <x:v>OP-1208</x:v>
      </x:c>
      <x:c r="C899" s="17" t="str">
        <x:v>OS-5509</x:v>
      </x:c>
      <x:c r="D899" s="17" t="str">
        <x:v>2026-06-07 21:00:00</x:v>
      </x:c>
      <x:c r="E899" s="17" t="str">
        <x:v>Boeing</x:v>
      </x:c>
      <x:c r="F899" s="17" t="str">
        <x:v>Lucas Alves Salles - 12 99611-5242;
Andrei Testi - 12 98118-8065</x:v>
      </x:c>
      <x:c r="G899" s="17" t="str">
        <x:v>Concluído</x:v>
      </x:c>
      <x:c r="H899" s="17" t="str">
        <x:v>Pago</x:v>
      </x:c>
      <x:c r="I899" s="21" t="n">
        <x:v>613.05</x:v>
      </x:c>
    </x:row>
    <x:row r="900" ht="24" hidden="0" customHeight="1">
      <x:c r="A900" s="17" t="n">
        <x:v>900</x:v>
      </x:c>
      <x:c r="B900" s="17" t="str">
        <x:v>OP-1207</x:v>
      </x:c>
      <x:c r="C900" s="17" t="str">
        <x:v>OS-5511</x:v>
      </x:c>
      <x:c r="D900" s="17" t="str">
        <x:v>2026-06-07 21:00:00</x:v>
      </x:c>
      <x:c r="E900" s="17" t="str">
        <x:v>Boeing</x:v>
      </x:c>
      <x:c r="F900" s="17" t="str">
        <x:v>Teo Lenquist da Rocha - (12) 99671-8688;
Rene Costa Araújo - indeterminado</x:v>
      </x:c>
      <x:c r="G900" s="17" t="str">
        <x:v>Concluído</x:v>
      </x:c>
      <x:c r="H900" s="17" t="str">
        <x:v>Pago</x:v>
      </x:c>
      <x:c r="I900" s="21" t="n">
        <x:v>512.97</x:v>
      </x:c>
    </x:row>
    <x:row r="901" ht="15" hidden="0" customHeight="1">
      <x:c r="A901" s="17" t="n">
        <x:v>901</x:v>
      </x:c>
      <x:c r="B901" s="17" t="str">
        <x:v>OP-1206</x:v>
      </x:c>
      <x:c r="C901" s="17" t="str">
        <x:v>OS-4993</x:v>
      </x:c>
      <x:c r="D901" s="17" t="str">
        <x:v>2026-06-07 21:00:00</x:v>
      </x:c>
      <x:c r="E901" s="17" t="str">
        <x:v>Boeing</x:v>
      </x:c>
      <x:c r="F901" s="17" t="str">
        <x:v>Caio Morini - +55 (14) 99765-5542</x:v>
      </x:c>
      <x:c r="G901" s="17" t="str">
        <x:v>Concluído</x:v>
      </x:c>
      <x:c r="H901" s="17" t="str">
        <x:v>Pago</x:v>
      </x:c>
      <x:c r="I901" s="21" t="n">
        <x:v>463.05</x:v>
      </x:c>
    </x:row>
    <x:row r="902" ht="15" hidden="0" customHeight="1">
      <x:c r="A902" s="17" t="n">
        <x:v>902</x:v>
      </x:c>
      <x:c r="B902" s="17" t="str">
        <x:v>OP-1275</x:v>
      </x:c>
      <x:c r="C902" s="17" t="str">
        <x:v>OS-5946</x:v>
      </x:c>
      <x:c r="D902" s="17" t="str">
        <x:v>2026-06-08 03:20:00</x:v>
      </x:c>
      <x:c r="E902" s="17" t="str">
        <x:v>Kenvue</x:v>
      </x:c>
      <x:c r="F902" s="17" t="str">
        <x:v>Dashreen Kaur - +65 812 1144 6</x:v>
      </x:c>
      <x:c r="G902" s="17" t="str">
        <x:v>Concluído</x:v>
      </x:c>
      <x:c r="H902" s="17" t="str">
        <x:v>Pago</x:v>
      </x:c>
      <x:c r="I902" s="21" t="n">
        <x:v>576.42</x:v>
      </x:c>
    </x:row>
    <x:row r="903" ht="15" hidden="0" customHeight="1">
      <x:c r="A903" s="17" t="n">
        <x:v>903</x:v>
      </x:c>
      <x:c r="B903" s="17" t="str">
        <x:v>OP-1229</x:v>
      </x:c>
      <x:c r="C903" s="17" t="str">
        <x:v>OS-5805</x:v>
      </x:c>
      <x:c r="D903" s="17" t="str">
        <x:v>2026-06-08 04:30:00</x:v>
      </x:c>
      <x:c r="E903" s="17" t="str">
        <x:v>Johnson&amp;Johnson</x:v>
      </x:c>
      <x:c r="F903" s="17" t="str">
        <x:v>Pamela Siqueira - +55 (12) 99175-3527</x:v>
      </x:c>
      <x:c r="G903" s="17" t="str">
        <x:v>Concluído</x:v>
      </x:c>
      <x:c r="H903" s="17" t="str">
        <x:v>Pago</x:v>
      </x:c>
      <x:c r="I903" s="21" t="n">
        <x:v>1888.86</x:v>
      </x:c>
    </x:row>
    <x:row r="904" ht="15" hidden="0" customHeight="1">
      <x:c r="A904" s="17" t="n">
        <x:v>904</x:v>
      </x:c>
      <x:c r="B904" s="17" t="str">
        <x:v>OP-1221</x:v>
      </x:c>
      <x:c r="C904" s="17" t="str">
        <x:v>OS-6022</x:v>
      </x:c>
      <x:c r="D904" s="17" t="str">
        <x:v>2026-06-08 07:30:00</x:v>
      </x:c>
      <x:c r="E904" s="17" t="str">
        <x:v>Eldorado do Brasil</x:v>
      </x:c>
      <x:c r="F904" s="17" t="str">
        <x:v>Carlos Roberto Paiva Monteiro - (12) 99713-2722</x:v>
      </x:c>
      <x:c r="G904" s="17" t="str">
        <x:v>Concluído</x:v>
      </x:c>
      <x:c r="H904" s="17" t="str">
        <x:v>Pago</x:v>
      </x:c>
      <x:c r="I904" s="21" t="n">
        <x:v>560.95</x:v>
      </x:c>
    </x:row>
    <x:row r="905" ht="15" hidden="0" customHeight="1">
      <x:c r="A905" s="17" t="n">
        <x:v>905</x:v>
      </x:c>
      <x:c r="B905" s="17" t="str">
        <x:v>OP-1315</x:v>
      </x:c>
      <x:c r="C905" s="17" t="str">
        <x:v>OS-5913</x:v>
      </x:c>
      <x:c r="D905" s="17" t="str">
        <x:v>2026-06-08 08:00:00</x:v>
      </x:c>
      <x:c r="E905" s="17" t="str">
        <x:v>Johnson&amp;Johnson</x:v>
      </x:c>
      <x:c r="F905" s="17" t="str">
        <x:v>Guilherme Alexandre Mancilha Fogaça - (12) 99700-9649</x:v>
      </x:c>
      <x:c r="G905" s="17" t="str">
        <x:v>Concluído</x:v>
      </x:c>
      <x:c r="H905" s="17" t="str">
        <x:v>Pago</x:v>
      </x:c>
      <x:c r="I905" s="21" t="n">
        <x:v>2590</x:v>
      </x:c>
    </x:row>
    <x:row r="906" ht="15" hidden="0" customHeight="1">
      <x:c r="A906" s="17" t="n">
        <x:v>906</x:v>
      </x:c>
      <x:c r="B906" s="17" t="str">
        <x:v>OP-1275</x:v>
      </x:c>
      <x:c r="C906" s="17" t="str">
        <x:v>OS-5948</x:v>
      </x:c>
      <x:c r="D906" s="17" t="str">
        <x:v>2026-06-08 08:00:00</x:v>
      </x:c>
      <x:c r="E906" s="17" t="str">
        <x:v>Kenvue</x:v>
      </x:c>
      <x:c r="F906" s="17" t="str">
        <x:v>Dashreen Kaur - +65 812 1144 6</x:v>
      </x:c>
      <x:c r="G906" s="17" t="str">
        <x:v>Concluído</x:v>
      </x:c>
      <x:c r="H906" s="17" t="str">
        <x:v>Pago</x:v>
      </x:c>
      <x:c r="I906" s="21" t="n">
        <x:v>160.51</x:v>
      </x:c>
    </x:row>
    <x:row r="907" ht="15" hidden="0" customHeight="1">
      <x:c r="A907" s="17" t="n">
        <x:v>907</x:v>
      </x:c>
      <x:c r="B907" s="17" t="str">
        <x:v>OP-1222</x:v>
      </x:c>
      <x:c r="C907" s="17" t="str">
        <x:v>OS-5622</x:v>
      </x:c>
      <x:c r="D907" s="17" t="str">
        <x:v>2026-06-08 08:00:00</x:v>
      </x:c>
      <x:c r="E907" s="17" t="str">
        <x:v>Tenaris</x:v>
      </x:c>
      <x:c r="F907" s="17" t="str">
        <x:v>Chengliang Chad - +966500797746</x:v>
      </x:c>
      <x:c r="G907" s="17" t="str">
        <x:v>Concluído</x:v>
      </x:c>
      <x:c r="H907" s="17" t="str">
        <x:v>Faturamento Mensal</x:v>
      </x:c>
      <x:c r="I907" s="21" t="n">
        <x:v>93.46</x:v>
      </x:c>
    </x:row>
    <x:row r="908" ht="15" hidden="0" customHeight="1">
      <x:c r="A908" s="17" t="n">
        <x:v>908</x:v>
      </x:c>
      <x:c r="B908" s="17" t="str">
        <x:v>OP-1289</x:v>
      </x:c>
      <x:c r="C908" s="17" t="str">
        <x:v>OS-5809</x:v>
      </x:c>
      <x:c r="D908" s="17" t="str">
        <x:v>2026-06-08 08:30:00</x:v>
      </x:c>
      <x:c r="E908" s="17" t="str">
        <x:v>Johnson&amp;Johnson</x:v>
      </x:c>
      <x:c r="F908" s="17" t="str">
        <x:v>Alberto Cardoso - +55 (12) 99629-4747</x:v>
      </x:c>
      <x:c r="G908" s="17" t="str">
        <x:v>Concluído</x:v>
      </x:c>
      <x:c r="H908" s="17" t="str">
        <x:v>Pago</x:v>
      </x:c>
      <x:c r="I908" s="21" t="n">
        <x:v>139.58</x:v>
      </x:c>
    </x:row>
    <x:row r="909" ht="15" hidden="0" customHeight="1">
      <x:c r="A909" s="17" t="n">
        <x:v>909</x:v>
      </x:c>
      <x:c r="B909" s="17" t="str">
        <x:v>OP-1258</x:v>
      </x:c>
      <x:c r="C909" s="17" t="str">
        <x:v>OS-6037</x:v>
      </x:c>
      <x:c r="D909" s="17" t="str">
        <x:v>2026-06-08 09:30:00</x:v>
      </x:c>
      <x:c r="E909" s="17" t="str">
        <x:v>UsisCrew</x:v>
      </x:c>
      <x:c r="F909" s="17" t="str">
        <x:v>Rafael Fernandes - +55 (22) 99949-7347</x:v>
      </x:c>
      <x:c r="G909" s="17" t="str">
        <x:v>Concluído</x:v>
      </x:c>
      <x:c r="H909" s="17" t="str">
        <x:v>Pago</x:v>
      </x:c>
      <x:c r="I909" s="21" t="n">
        <x:v>1650</x:v>
      </x:c>
    </x:row>
    <x:row r="910" ht="15" hidden="0" customHeight="1">
      <x:c r="A910" s="17" t="n">
        <x:v>910</x:v>
      </x:c>
      <x:c r="B910" s="17" t="str">
        <x:v>OP-1244</x:v>
      </x:c>
      <x:c r="C910" s="17" t="str">
        <x:v>OS-5926</x:v>
      </x:c>
      <x:c r="D910" s="17" t="str">
        <x:v>2026-06-08 09:40:00</x:v>
      </x:c>
      <x:c r="E910" s="17" t="str">
        <x:v>Johnson&amp;Johnson</x:v>
      </x:c>
      <x:c r="F910" s="17" t="str">
        <x:v>Carlene Comrie - indeterminado</x:v>
      </x:c>
      <x:c r="G910" s="17" t="str">
        <x:v>Concluído</x:v>
      </x:c>
      <x:c r="H910" s="17" t="str">
        <x:v>Pago</x:v>
      </x:c>
      <x:c r="I910" s="21" t="n">
        <x:v>780.56</x:v>
      </x:c>
    </x:row>
    <x:row r="911" ht="15" hidden="0" customHeight="1">
      <x:c r="A911" s="17" t="n">
        <x:v>911</x:v>
      </x:c>
      <x:c r="B911" s="17" t="str">
        <x:v>OP-1265</x:v>
      </x:c>
      <x:c r="C911" s="17" t="str">
        <x:v>OS-5700</x:v>
      </x:c>
      <x:c r="D911" s="17" t="str">
        <x:v>2026-06-08 11:55:00</x:v>
      </x:c>
      <x:c r="E911" s="17" t="str">
        <x:v>Kenvue</x:v>
      </x:c>
      <x:c r="F911" s="17" t="str">
        <x:v>Waleska Albino Rodríguez - +1 813 210 4807</x:v>
      </x:c>
      <x:c r="G911" s="17" t="str">
        <x:v>Concluído</x:v>
      </x:c>
      <x:c r="H911" s="17" t="str">
        <x:v>Pago</x:v>
      </x:c>
      <x:c r="I911" s="21" t="n">
        <x:v>620.49</x:v>
      </x:c>
    </x:row>
    <x:row r="912" ht="15" hidden="0" customHeight="1">
      <x:c r="A912" s="17" t="n">
        <x:v>912</x:v>
      </x:c>
      <x:c r="B912" s="17" t="str">
        <x:v>OP-1275</x:v>
      </x:c>
      <x:c r="C912" s="17" t="str">
        <x:v>OS-6068</x:v>
      </x:c>
      <x:c r="D912" s="17" t="str">
        <x:v>2026-06-08 13:00:00</x:v>
      </x:c>
      <x:c r="E912" s="17" t="str">
        <x:v>Kenvue</x:v>
      </x:c>
      <x:c r="F912" s="17" t="str">
        <x:v>Dashreen Kaur - +65 812 1144 6</x:v>
      </x:c>
      <x:c r="G912" s="17" t="str">
        <x:v>Concluído</x:v>
      </x:c>
      <x:c r="H912" s="17" t="str">
        <x:v>Pago</x:v>
      </x:c>
      <x:c r="I912" s="21" t="n">
        <x:v>160.51</x:v>
      </x:c>
    </x:row>
    <x:row r="913" ht="15" hidden="0" customHeight="1">
      <x:c r="A913" s="17" t="n">
        <x:v>913</x:v>
      </x:c>
      <x:c r="B913" s="17" t="str">
        <x:v>OP-1260</x:v>
      </x:c>
      <x:c r="C913" s="17" t="str">
        <x:v>OS-6060</x:v>
      </x:c>
      <x:c r="D913" s="17" t="str">
        <x:v>2026-06-08 13:30:00</x:v>
      </x:c>
      <x:c r="E913" s="17" t="str">
        <x:v>Latasa Recicla BR</x:v>
      </x:c>
      <x:c r="F913" s="17" t="str">
        <x:v>Tiago Henrique Santos Xavier - (12) 99142-8629</x:v>
      </x:c>
      <x:c r="G913" s="17" t="str">
        <x:v>Concluído</x:v>
      </x:c>
      <x:c r="H913" s="17" t="str">
        <x:v>Composição Realizada</x:v>
      </x:c>
      <x:c r="I913" s="21" t="n">
        <x:v>315</x:v>
      </x:c>
    </x:row>
    <x:row r="914" ht="15" hidden="0" customHeight="1">
      <x:c r="A914" s="17" t="n">
        <x:v>914</x:v>
      </x:c>
      <x:c r="B914" s="17" t="str">
        <x:v>OP-1289</x:v>
      </x:c>
      <x:c r="C914" s="17" t="str">
        <x:v>OS-5853</x:v>
      </x:c>
      <x:c r="D914" s="17" t="str">
        <x:v>2026-06-08 15:30:00</x:v>
      </x:c>
      <x:c r="E914" s="17" t="str">
        <x:v>Johnson&amp;Johnson</x:v>
      </x:c>
      <x:c r="F914" s="17" t="str">
        <x:v>Alberto Cardoso - +55 (12) 99629-4747</x:v>
      </x:c>
      <x:c r="G914" s="17" t="str">
        <x:v>Concluído</x:v>
      </x:c>
      <x:c r="H914" s="17" t="str">
        <x:v>Pago</x:v>
      </x:c>
      <x:c r="I914" s="21" t="n">
        <x:v>139.58</x:v>
      </x:c>
    </x:row>
    <x:row r="915" ht="15" hidden="0" customHeight="1">
      <x:c r="A915" s="17" t="n">
        <x:v>915</x:v>
      </x:c>
      <x:c r="B915" s="17" t="str">
        <x:v>OP-1275</x:v>
      </x:c>
      <x:c r="C915" s="17" t="str">
        <x:v>OS-5967</x:v>
      </x:c>
      <x:c r="D915" s="17" t="str">
        <x:v>2026-06-08 17:00:00</x:v>
      </x:c>
      <x:c r="E915" s="17" t="str">
        <x:v>Kenvue</x:v>
      </x:c>
      <x:c r="F915" s="17" t="str">
        <x:v>Dashreen Kaur - +65 812 1144 6</x:v>
      </x:c>
      <x:c r="G915" s="17" t="str">
        <x:v>Concluído</x:v>
      </x:c>
      <x:c r="H915" s="17" t="str">
        <x:v>Pago</x:v>
      </x:c>
      <x:c r="I915" s="21" t="n">
        <x:v>160.51</x:v>
      </x:c>
    </x:row>
    <x:row r="916" ht="15" hidden="0" customHeight="1">
      <x:c r="A916" s="17" t="n">
        <x:v>916</x:v>
      </x:c>
      <x:c r="B916" s="17" t="str">
        <x:v>OP-1222</x:v>
      </x:c>
      <x:c r="C916" s="17" t="str">
        <x:v>OS-5621</x:v>
      </x:c>
      <x:c r="D916" s="17" t="str">
        <x:v>2026-06-08 18:00:00</x:v>
      </x:c>
      <x:c r="E916" s="17" t="str">
        <x:v>Tenaris</x:v>
      </x:c>
      <x:c r="F916" s="17" t="str">
        <x:v>Chengliang Chad - +966500797746</x:v>
      </x:c>
      <x:c r="G916" s="17" t="str">
        <x:v>Concluído</x:v>
      </x:c>
      <x:c r="H916" s="17" t="str">
        <x:v>Faturamento Mensal</x:v>
      </x:c>
      <x:c r="I916" s="21" t="n">
        <x:v>93.46</x:v>
      </x:c>
    </x:row>
    <x:row r="917" ht="15" hidden="0" customHeight="1">
      <x:c r="A917" s="17" t="n">
        <x:v>917</x:v>
      </x:c>
      <x:c r="B917" s="17" t="str">
        <x:v>OP-1317</x:v>
      </x:c>
      <x:c r="C917" s="17" t="str">
        <x:v>OS-6091</x:v>
      </x:c>
      <x:c r="D917" s="17" t="str">
        <x:v>2026-06-08 20:00:00</x:v>
      </x:c>
      <x:c r="E917" s="17" t="str">
        <x:v>Kenvue</x:v>
      </x:c>
      <x:c r="F917" s="17" t="str">
        <x:v>Jeison Souza - indeterminado</x:v>
      </x:c>
      <x:c r="G917" s="17" t="str">
        <x:v>Concluído</x:v>
      </x:c>
      <x:c r="H917" s="17" t="str">
        <x:v>Pago</x:v>
      </x:c>
      <x:c r="I917" s="21" t="n">
        <x:v>2590</x:v>
      </x:c>
    </x:row>
    <x:row r="918" ht="24" hidden="0" customHeight="1">
      <x:c r="A918" s="17" t="n">
        <x:v>918</x:v>
      </x:c>
      <x:c r="B918" s="17" t="str">
        <x:v>OP-1235</x:v>
      </x:c>
      <x:c r="C918" s="17" t="str">
        <x:v>OS-5898</x:v>
      </x:c>
      <x:c r="D918" s="17" t="str">
        <x:v>2026-06-09 05:30:00</x:v>
      </x:c>
      <x:c r="E918" s="17" t="str">
        <x:v>Johnson&amp;Johnson</x:v>
      </x:c>
      <x:c r="F918" s="17" t="str">
        <x:v>Viviane Lemes Castro - +55 (12) 98809-5016 12;
Rosicleide R. S. Lopes - +55 (12) 99189-0979</x:v>
      </x:c>
      <x:c r="G918" s="17" t="str">
        <x:v>Concluído</x:v>
      </x:c>
      <x:c r="H918" s="17" t="str">
        <x:v>Pago</x:v>
      </x:c>
      <x:c r="I918" s="21" t="n">
        <x:v>1109.29</x:v>
      </x:c>
    </x:row>
    <x:row r="919" ht="15" hidden="0" customHeight="1">
      <x:c r="A919" s="17" t="n">
        <x:v>919</x:v>
      </x:c>
      <x:c r="B919" s="17" t="str">
        <x:v>OP-1220</x:v>
      </x:c>
      <x:c r="C919" s="17" t="str">
        <x:v>OS-6069</x:v>
      </x:c>
      <x:c r="D919" s="17" t="str">
        <x:v>2026-06-09 05:50:00</x:v>
      </x:c>
      <x:c r="E919" s="17" t="str">
        <x:v>Particular</x:v>
      </x:c>
      <x:c r="F919" s="17" t="str">
        <x:v>Mariana de Souza Bittencourt de Carvalho  - (12) 99758-2917</x:v>
      </x:c>
      <x:c r="G919" s="17" t="str">
        <x:v>Concluído</x:v>
      </x:c>
      <x:c r="H919" s="17" t="str">
        <x:v>Pago</x:v>
      </x:c>
      <x:c r="I919" s="21" t="n">
        <x:v>726.06</x:v>
      </x:c>
    </x:row>
    <x:row r="920" ht="15" hidden="0" customHeight="1">
      <x:c r="A920" s="17" t="n">
        <x:v>920</x:v>
      </x:c>
      <x:c r="B920" s="17" t="str">
        <x:v>OP-1235</x:v>
      </x:c>
      <x:c r="C920" s="17" t="str">
        <x:v>OS-5755</x:v>
      </x:c>
      <x:c r="D920" s="17" t="str">
        <x:v>2026-06-09 06:00:00</x:v>
      </x:c>
      <x:c r="E920" s="17" t="str">
        <x:v>Johnson&amp;Johnson</x:v>
      </x:c>
      <x:c r="F920" s="17" t="str">
        <x:v>Gabriela Vanzo Lopes da Silva - +55 (12) 98828-6185</x:v>
      </x:c>
      <x:c r="G920" s="17" t="str">
        <x:v>Concluído</x:v>
      </x:c>
      <x:c r="H920" s="17" t="str">
        <x:v>Pago</x:v>
      </x:c>
      <x:c r="I920" s="21" t="n">
        <x:v>2651.03</x:v>
      </x:c>
    </x:row>
    <x:row r="921" ht="15" hidden="0" customHeight="1">
      <x:c r="A921" s="17" t="n">
        <x:v>921</x:v>
      </x:c>
      <x:c r="B921" s="17" t="str">
        <x:v>OP-1244</x:v>
      </x:c>
      <x:c r="C921" s="17" t="str">
        <x:v>OS-5928</x:v>
      </x:c>
      <x:c r="D921" s="17" t="str">
        <x:v>2026-06-09 07:30:00</x:v>
      </x:c>
      <x:c r="E921" s="17" t="str">
        <x:v>Johnson&amp;Johnson</x:v>
      </x:c>
      <x:c r="F921" s="17" t="str">
        <x:v>Carlene Comrie - indeterminado</x:v>
      </x:c>
      <x:c r="G921" s="17" t="str">
        <x:v>Concluído</x:v>
      </x:c>
      <x:c r="H921" s="17" t="str">
        <x:v>Pago</x:v>
      </x:c>
      <x:c r="I921" s="21" t="n">
        <x:v>400.48</x:v>
      </x:c>
    </x:row>
    <x:row r="922" ht="15" hidden="0" customHeight="1">
      <x:c r="A922" s="17" t="n">
        <x:v>922</x:v>
      </x:c>
      <x:c r="B922" s="17" t="str">
        <x:v>OP-1222</x:v>
      </x:c>
      <x:c r="C922" s="17" t="str">
        <x:v>OS-5620</x:v>
      </x:c>
      <x:c r="D922" s="17" t="str">
        <x:v>2026-06-09 07:50:00</x:v>
      </x:c>
      <x:c r="E922" s="17" t="str">
        <x:v>Tenaris</x:v>
      </x:c>
      <x:c r="F922" s="17" t="str">
        <x:v>Chengliang Chad - +966500797746</x:v>
      </x:c>
      <x:c r="G922" s="17" t="str">
        <x:v>Concluído</x:v>
      </x:c>
      <x:c r="H922" s="17" t="str">
        <x:v>Faturamento Mensal</x:v>
      </x:c>
      <x:c r="I922" s="21" t="n">
        <x:v>93.46</x:v>
      </x:c>
    </x:row>
    <x:row r="923" ht="15" hidden="0" customHeight="1">
      <x:c r="A923" s="17" t="n">
        <x:v>923</x:v>
      </x:c>
      <x:c r="B923" s="17" t="str">
        <x:v>OP-1275</x:v>
      </x:c>
      <x:c r="C923" s="17" t="str">
        <x:v>OS-5949</x:v>
      </x:c>
      <x:c r="D923" s="17" t="str">
        <x:v>2026-06-09 08:30:00</x:v>
      </x:c>
      <x:c r="E923" s="17" t="str">
        <x:v>Kenvue</x:v>
      </x:c>
      <x:c r="F923" s="17" t="str">
        <x:v>Dashreen Kaur - +65 812 1144 6</x:v>
      </x:c>
      <x:c r="G923" s="17" t="str">
        <x:v>Concluído</x:v>
      </x:c>
      <x:c r="H923" s="17" t="str">
        <x:v>Pago</x:v>
      </x:c>
      <x:c r="I923" s="21" t="n">
        <x:v>160.51</x:v>
      </x:c>
    </x:row>
    <x:row r="924" ht="15" hidden="0" customHeight="1">
      <x:c r="A924" s="17" t="n">
        <x:v>924</x:v>
      </x:c>
      <x:c r="B924" s="17" t="str">
        <x:v>OP-1289</x:v>
      </x:c>
      <x:c r="C924" s="17" t="str">
        <x:v>OS-5810</x:v>
      </x:c>
      <x:c r="D924" s="17" t="str">
        <x:v>2026-06-09 08:30:00</x:v>
      </x:c>
      <x:c r="E924" s="17" t="str">
        <x:v>Johnson&amp;Johnson</x:v>
      </x:c>
      <x:c r="F924" s="17" t="str">
        <x:v>Alberto Cardoso - +55 (12) 99629-4747</x:v>
      </x:c>
      <x:c r="G924" s="17" t="str">
        <x:v>Concluído</x:v>
      </x:c>
      <x:c r="H924" s="17" t="str">
        <x:v>Pago</x:v>
      </x:c>
      <x:c r="I924" s="21" t="n">
        <x:v>139.58</x:v>
      </x:c>
    </x:row>
    <x:row r="925" ht="15" hidden="0" customHeight="1">
      <x:c r="A925" s="17" t="n">
        <x:v>925</x:v>
      </x:c>
      <x:c r="B925" s="17" t="str">
        <x:v>OP-1279</x:v>
      </x:c>
      <x:c r="C925" s="17" t="str">
        <x:v>OS-6039</x:v>
      </x:c>
      <x:c r="D925" s="17" t="str">
        <x:v>2026-06-09 11:55:00</x:v>
      </x:c>
      <x:c r="E925" s="17" t="str">
        <x:v>Boeing</x:v>
      </x:c>
      <x:c r="F925" s="17" t="str">
        <x:v>Raul Rene Valle Agostini - +55 (12) 99760-2106</x:v>
      </x:c>
      <x:c r="G925" s="17" t="str">
        <x:v>Concluído</x:v>
      </x:c>
      <x:c r="H925" s="17" t="str">
        <x:v>Pago</x:v>
      </x:c>
      <x:c r="I925" s="21" t="n">
        <x:v>396.05</x:v>
      </x:c>
    </x:row>
    <x:row r="926" ht="15" hidden="0" customHeight="1">
      <x:c r="A926" s="17" t="n">
        <x:v>926</x:v>
      </x:c>
      <x:c r="B926" s="17" t="str">
        <x:v>OP-1289</x:v>
      </x:c>
      <x:c r="C926" s="17" t="str">
        <x:v>OS-5854</x:v>
      </x:c>
      <x:c r="D926" s="17" t="str">
        <x:v>2026-06-09 15:30:00</x:v>
      </x:c>
      <x:c r="E926" s="17" t="str">
        <x:v>Johnson&amp;Johnson</x:v>
      </x:c>
      <x:c r="F926" s="17" t="str">
        <x:v>Alberto Cardoso - +55 (12) 99629-4747</x:v>
      </x:c>
      <x:c r="G926" s="17" t="str">
        <x:v>Concluído</x:v>
      </x:c>
      <x:c r="H926" s="17" t="str">
        <x:v>Pago</x:v>
      </x:c>
      <x:c r="I926" s="21" t="n">
        <x:v>139.58</x:v>
      </x:c>
    </x:row>
    <x:row r="927" ht="15" hidden="0" customHeight="1">
      <x:c r="A927" s="17" t="n">
        <x:v>927</x:v>
      </x:c>
      <x:c r="B927" s="17" t="str">
        <x:v>OP-1275</x:v>
      </x:c>
      <x:c r="C927" s="17" t="str">
        <x:v>OS-5958</x:v>
      </x:c>
      <x:c r="D927" s="17" t="str">
        <x:v>2026-06-09 16:00:00</x:v>
      </x:c>
      <x:c r="E927" s="17" t="str">
        <x:v>Kenvue</x:v>
      </x:c>
      <x:c r="F927" s="17" t="str">
        <x:v>Dashreen Kaur - +65 812 1144 6</x:v>
      </x:c>
      <x:c r="G927" s="17" t="str">
        <x:v>Concluído</x:v>
      </x:c>
      <x:c r="H927" s="17" t="str">
        <x:v>Pago</x:v>
      </x:c>
      <x:c r="I927" s="21" t="n">
        <x:v>160.51</x:v>
      </x:c>
    </x:row>
    <x:row r="928" ht="15" hidden="0" customHeight="1">
      <x:c r="A928" s="17" t="n">
        <x:v>928</x:v>
      </x:c>
      <x:c r="B928" s="17" t="str">
        <x:v>OP-1244</x:v>
      </x:c>
      <x:c r="C928" s="17" t="str">
        <x:v>OS-5933</x:v>
      </x:c>
      <x:c r="D928" s="17" t="str">
        <x:v>2026-06-09 17:00:00</x:v>
      </x:c>
      <x:c r="E928" s="17" t="str">
        <x:v>Johnson&amp;Johnson</x:v>
      </x:c>
      <x:c r="F928" s="17" t="str">
        <x:v>Carlene Comrie - indeterminado</x:v>
      </x:c>
      <x:c r="G928" s="17" t="str">
        <x:v>Concluído</x:v>
      </x:c>
      <x:c r="H928" s="17" t="str">
        <x:v>Pago</x:v>
      </x:c>
      <x:c r="I928" s="21" t="n">
        <x:v>400.48</x:v>
      </x:c>
    </x:row>
    <x:row r="929" ht="15" hidden="0" customHeight="1">
      <x:c r="A929" s="17" t="n">
        <x:v>929</x:v>
      </x:c>
      <x:c r="B929" s="17" t="str">
        <x:v>OP-1222</x:v>
      </x:c>
      <x:c r="C929" s="17" t="str">
        <x:v>OS-5618</x:v>
      </x:c>
      <x:c r="D929" s="17" t="str">
        <x:v>2026-06-09 18:00:00</x:v>
      </x:c>
      <x:c r="E929" s="17" t="str">
        <x:v>Tenaris</x:v>
      </x:c>
      <x:c r="F929" s="17" t="str">
        <x:v>Chengliang Chad - +966500797746</x:v>
      </x:c>
      <x:c r="G929" s="17" t="str">
        <x:v>Concluído</x:v>
      </x:c>
      <x:c r="H929" s="17" t="str">
        <x:v>Faturamento Mensal</x:v>
      </x:c>
      <x:c r="I929" s="21" t="n">
        <x:v>93.46</x:v>
      </x:c>
    </x:row>
    <x:row r="930" ht="15" hidden="0" customHeight="1">
      <x:c r="A930" s="17" t="n">
        <x:v>930</x:v>
      </x:c>
      <x:c r="B930" s="17" t="str">
        <x:v>OP-1317</x:v>
      </x:c>
      <x:c r="C930" s="17" t="str">
        <x:v>OS-6092</x:v>
      </x:c>
      <x:c r="D930" s="17" t="str">
        <x:v>2026-06-09 20:00:00</x:v>
      </x:c>
      <x:c r="E930" s="17" t="str">
        <x:v>Kenvue</x:v>
      </x:c>
      <x:c r="F930" s="17" t="str">
        <x:v>Jeison Souza - indeterminado</x:v>
      </x:c>
      <x:c r="G930" s="17" t="str">
        <x:v>Concluído</x:v>
      </x:c>
      <x:c r="H930" s="17" t="str">
        <x:v>Pago</x:v>
      </x:c>
      <x:c r="I930" s="21" t="n">
        <x:v>2590</x:v>
      </x:c>
    </x:row>
    <x:row r="931" ht="15" hidden="0" customHeight="1">
      <x:c r="A931" s="17" t="n">
        <x:v>931</x:v>
      </x:c>
      <x:c r="B931" s="17" t="str">
        <x:v>OP-1230</x:v>
      </x:c>
      <x:c r="C931" s="17" t="str">
        <x:v>OS-5686</x:v>
      </x:c>
      <x:c r="D931" s="17" t="str">
        <x:v>2026-06-10 04:30:00</x:v>
      </x:c>
      <x:c r="E931" s="17" t="str">
        <x:v>Johnson&amp;Johnson</x:v>
      </x:c>
      <x:c r="F931" s="17" t="str">
        <x:v>Aline Galdieri - +551299165-5286</x:v>
      </x:c>
      <x:c r="G931" s="17" t="str">
        <x:v>Concluído</x:v>
      </x:c>
      <x:c r="H931" s="17" t="str">
        <x:v>Pago</x:v>
      </x:c>
      <x:c r="I931" s="21" t="n">
        <x:v>1109.29</x:v>
      </x:c>
    </x:row>
    <x:row r="932" ht="15" hidden="0" customHeight="1">
      <x:c r="A932" s="17" t="n">
        <x:v>932</x:v>
      </x:c>
      <x:c r="B932" s="17" t="str">
        <x:v>OP-1239</x:v>
      </x:c>
      <x:c r="C932" s="17" t="str">
        <x:v>OS-5068</x:v>
      </x:c>
      <x:c r="D932" s="17" t="str">
        <x:v>2026-06-10 05:30:00</x:v>
      </x:c>
      <x:c r="E932" s="17" t="str">
        <x:v>Particular</x:v>
      </x:c>
      <x:c r="F932" s="17" t="str">
        <x:v>Innes Mullen - (12) 99766-0236</x:v>
      </x:c>
      <x:c r="G932" s="17" t="str">
        <x:v>Concluído</x:v>
      </x:c>
      <x:c r="H932" s="17" t="str">
        <x:v>Pago</x:v>
      </x:c>
      <x:c r="I932" s="21" t="n">
        <x:v>465</x:v>
      </x:c>
    </x:row>
    <x:row r="933" ht="15" hidden="0" customHeight="1">
      <x:c r="A933" s="17" t="n">
        <x:v>933</x:v>
      </x:c>
      <x:c r="B933" s="17" t="str">
        <x:v>OP-1222</x:v>
      </x:c>
      <x:c r="C933" s="17" t="str">
        <x:v>OS-5617</x:v>
      </x:c>
      <x:c r="D933" s="17" t="str">
        <x:v>2026-06-10 08:00:00</x:v>
      </x:c>
      <x:c r="E933" s="17" t="str">
        <x:v>Tenaris</x:v>
      </x:c>
      <x:c r="F933" s="17" t="str">
        <x:v>Chengliang Chad - +966500797746</x:v>
      </x:c>
      <x:c r="G933" s="17" t="str">
        <x:v>Concluído</x:v>
      </x:c>
      <x:c r="H933" s="17" t="str">
        <x:v>Faturamento Mensal</x:v>
      </x:c>
      <x:c r="I933" s="21" t="n">
        <x:v>93.46</x:v>
      </x:c>
    </x:row>
    <x:row r="934" ht="15" hidden="0" customHeight="1">
      <x:c r="A934" s="17" t="n">
        <x:v>934</x:v>
      </x:c>
      <x:c r="B934" s="17" t="str">
        <x:v>OP-1244</x:v>
      </x:c>
      <x:c r="C934" s="17" t="str">
        <x:v>OS-5929</x:v>
      </x:c>
      <x:c r="D934" s="17" t="str">
        <x:v>2026-06-10 08:00:00</x:v>
      </x:c>
      <x:c r="E934" s="17" t="str">
        <x:v>Johnson&amp;Johnson</x:v>
      </x:c>
      <x:c r="F934" s="17" t="str">
        <x:v>Carlene Comrie - indeterminado</x:v>
      </x:c>
      <x:c r="G934" s="17" t="str">
        <x:v>Concluído</x:v>
      </x:c>
      <x:c r="H934" s="17" t="str">
        <x:v>Pago</x:v>
      </x:c>
      <x:c r="I934" s="21" t="n">
        <x:v>400.48</x:v>
      </x:c>
    </x:row>
    <x:row r="935" ht="15" hidden="0" customHeight="1">
      <x:c r="A935" s="17" t="n">
        <x:v>935</x:v>
      </x:c>
      <x:c r="B935" s="17" t="str">
        <x:v>OP-1275</x:v>
      </x:c>
      <x:c r="C935" s="17" t="str">
        <x:v>OS-5950</x:v>
      </x:c>
      <x:c r="D935" s="17" t="str">
        <x:v>2026-06-10 08:20:00</x:v>
      </x:c>
      <x:c r="E935" s="17" t="str">
        <x:v>Kenvue</x:v>
      </x:c>
      <x:c r="F935" s="17" t="str">
        <x:v>Dashreen Kaur - +65 812 1144 6</x:v>
      </x:c>
      <x:c r="G935" s="17" t="str">
        <x:v>Concluído</x:v>
      </x:c>
      <x:c r="H935" s="17" t="str">
        <x:v>Pago</x:v>
      </x:c>
      <x:c r="I935" s="21" t="n">
        <x:v>160.51</x:v>
      </x:c>
    </x:row>
    <x:row r="936" ht="15" hidden="0" customHeight="1">
      <x:c r="A936" s="17" t="n">
        <x:v>936</x:v>
      </x:c>
      <x:c r="B936" s="17" t="str">
        <x:v>OP-1256</x:v>
      </x:c>
      <x:c r="C936" s="17" t="str">
        <x:v>OS-6129</x:v>
      </x:c>
      <x:c r="D936" s="17" t="str">
        <x:v>2026-06-10 08:30:00</x:v>
      </x:c>
      <x:c r="E936" s="17" t="str">
        <x:v>Particular</x:v>
      </x:c>
      <x:c r="F936" s="17" t="str">
        <x:v>Idalina Leite - indeterminado</x:v>
      </x:c>
      <x:c r="G936" s="17" t="str">
        <x:v>Concluído</x:v>
      </x:c>
      <x:c r="H936" s="17" t="str">
        <x:v>Pago</x:v>
      </x:c>
      <x:c r="I936" s="21" t="n">
        <x:v>690</x:v>
      </x:c>
    </x:row>
    <x:row r="937" ht="15" hidden="0" customHeight="1">
      <x:c r="A937" s="17" t="n">
        <x:v>937</x:v>
      </x:c>
      <x:c r="B937" s="17" t="str">
        <x:v>OP-1289</x:v>
      </x:c>
      <x:c r="C937" s="17" t="str">
        <x:v>OS-5811</x:v>
      </x:c>
      <x:c r="D937" s="17" t="str">
        <x:v>2026-06-10 08:30:00</x:v>
      </x:c>
      <x:c r="E937" s="17" t="str">
        <x:v>Johnson&amp;Johnson</x:v>
      </x:c>
      <x:c r="F937" s="17" t="str">
        <x:v>Alberto Cardoso - +55 (12) 99629-4747</x:v>
      </x:c>
      <x:c r="G937" s="17" t="str">
        <x:v>Concluído</x:v>
      </x:c>
      <x:c r="H937" s="17" t="str">
        <x:v>Pago</x:v>
      </x:c>
      <x:c r="I937" s="21" t="n">
        <x:v>139.58</x:v>
      </x:c>
    </x:row>
    <x:row r="938" ht="15" hidden="0" customHeight="1">
      <x:c r="A938" s="17" t="n">
        <x:v>938</x:v>
      </x:c>
      <x:c r="B938" s="17" t="str">
        <x:v>OP-1257</x:v>
      </x:c>
      <x:c r="C938" s="17" t="str">
        <x:v>OS-6137</x:v>
      </x:c>
      <x:c r="D938" s="17" t="str">
        <x:v>2026-06-10 09:00:00</x:v>
      </x:c>
      <x:c r="E938" s="17" t="str">
        <x:v>Particular</x:v>
      </x:c>
      <x:c r="F938" s="17" t="str">
        <x:v>Giuliana Pessoa - +55 (12) 98118-1114</x:v>
      </x:c>
      <x:c r="G938" s="17" t="str">
        <x:v>Concluído</x:v>
      </x:c>
      <x:c r="H938" s="17" t="str">
        <x:v>Pago</x:v>
      </x:c>
      <x:c r="I938" s="21" t="n">
        <x:v>442.98</x:v>
      </x:c>
    </x:row>
    <x:row r="939" ht="15" hidden="0" customHeight="1">
      <x:c r="A939" s="17" t="n">
        <x:v>939</x:v>
      </x:c>
      <x:c r="B939" s="17" t="str">
        <x:v>OP-1260</x:v>
      </x:c>
      <x:c r="C939" s="17" t="str">
        <x:v>OS-6062</x:v>
      </x:c>
      <x:c r="D939" s="17" t="str">
        <x:v>2026-06-10 13:30:00</x:v>
      </x:c>
      <x:c r="E939" s="17" t="str">
        <x:v>Latasa Recicla BR</x:v>
      </x:c>
      <x:c r="F939" s="17" t="str">
        <x:v>Tiago Henrique Santos Xavier - (12) 99142-8629</x:v>
      </x:c>
      <x:c r="G939" s="17" t="str">
        <x:v>Concluído</x:v>
      </x:c>
      <x:c r="H939" s="17" t="str">
        <x:v>Composição Realizada</x:v>
      </x:c>
      <x:c r="I939" s="21" t="n">
        <x:v>315</x:v>
      </x:c>
    </x:row>
    <x:row r="940" ht="15" hidden="0" customHeight="1">
      <x:c r="A940" s="17" t="n">
        <x:v>940</x:v>
      </x:c>
      <x:c r="B940" s="17" t="str">
        <x:v>OP-1260</x:v>
      </x:c>
      <x:c r="C940" s="17" t="str">
        <x:v>OS-6146</x:v>
      </x:c>
      <x:c r="D940" s="17" t="str">
        <x:v>2026-06-10 14:15:00</x:v>
      </x:c>
      <x:c r="E940" s="17" t="str">
        <x:v>Latasa Recicla BR</x:v>
      </x:c>
      <x:c r="F940" s="17" t="str">
        <x:v>Ana Júlia Martins de Araújo - +55 (11) 93365-8333</x:v>
      </x:c>
      <x:c r="G940" s="17" t="str">
        <x:v>Concluído</x:v>
      </x:c>
      <x:c r="H940" s="17" t="str">
        <x:v>Composição Realizada</x:v>
      </x:c>
      <x:c r="I940" s="21" t="n">
        <x:v>85</x:v>
      </x:c>
    </x:row>
    <x:row r="941" ht="15" hidden="0" customHeight="1">
      <x:c r="A941" s="17" t="n">
        <x:v>941</x:v>
      </x:c>
      <x:c r="B941" s="17" t="str">
        <x:v>OP-1256</x:v>
      </x:c>
      <x:c r="C941" s="17" t="str">
        <x:v>OS-6130</x:v>
      </x:c>
      <x:c r="D941" s="17" t="str">
        <x:v>2026-06-10 15:30:00</x:v>
      </x:c>
      <x:c r="E941" s="17" t="str">
        <x:v>Particular</x:v>
      </x:c>
      <x:c r="F941" s="17" t="str">
        <x:v>Idalina Leite - indeterminado</x:v>
      </x:c>
      <x:c r="G941" s="17" t="str">
        <x:v>Concluído</x:v>
      </x:c>
      <x:c r="H941" s="17" t="str">
        <x:v>Pago</x:v>
      </x:c>
      <x:c r="I941" s="21" t="n">
        <x:v>690</x:v>
      </x:c>
    </x:row>
    <x:row r="942" ht="15" hidden="0" customHeight="1">
      <x:c r="A942" s="17" t="n">
        <x:v>942</x:v>
      </x:c>
      <x:c r="B942" s="17" t="str">
        <x:v>OP-1289</x:v>
      </x:c>
      <x:c r="C942" s="17" t="str">
        <x:v>OS-5855</x:v>
      </x:c>
      <x:c r="D942" s="17" t="str">
        <x:v>2026-06-10 15:30:00</x:v>
      </x:c>
      <x:c r="E942" s="17" t="str">
        <x:v>Johnson&amp;Johnson</x:v>
      </x:c>
      <x:c r="F942" s="17" t="str">
        <x:v>Alberto Cardoso - +55 (12) 99629-4747</x:v>
      </x:c>
      <x:c r="G942" s="17" t="str">
        <x:v>Concluído</x:v>
      </x:c>
      <x:c r="H942" s="17" t="str">
        <x:v>Pago</x:v>
      </x:c>
      <x:c r="I942" s="21" t="n">
        <x:v>139.58</x:v>
      </x:c>
    </x:row>
    <x:row r="943" ht="15" hidden="0" customHeight="1">
      <x:c r="A943" s="17" t="n">
        <x:v>943</x:v>
      </x:c>
      <x:c r="B943" s="17" t="str">
        <x:v>OP-1260</x:v>
      </x:c>
      <x:c r="C943" s="17" t="str">
        <x:v>OS-6147</x:v>
      </x:c>
      <x:c r="D943" s="17" t="str">
        <x:v>2026-06-10 16:15:00</x:v>
      </x:c>
      <x:c r="E943" s="17" t="str">
        <x:v>Latasa Recicla BR</x:v>
      </x:c>
      <x:c r="F943" s="17" t="str">
        <x:v>Ana Júlia Martins de Araújo - +55 (11) 93365-8333</x:v>
      </x:c>
      <x:c r="G943" s="17" t="str">
        <x:v>Concluído</x:v>
      </x:c>
      <x:c r="H943" s="17" t="str">
        <x:v>Composição Realizada</x:v>
      </x:c>
      <x:c r="I943" s="21" t="n">
        <x:v>85</x:v>
      </x:c>
    </x:row>
    <x:row r="944" ht="36" hidden="0" customHeight="1">
      <x:c r="A944" s="17" t="n">
        <x:v>944</x:v>
      </x:c>
      <x:c r="B944" s="17" t="str">
        <x:v>OP-1218</x:v>
      </x:c>
      <x:c r="C944" s="17" t="str">
        <x:v>OS-5922</x:v>
      </x:c>
      <x:c r="D944" s="17" t="str">
        <x:v>2026-06-10 16:30:00</x:v>
      </x:c>
      <x:c r="E944" s="17" t="str">
        <x:v>Kenvue</x:v>
      </x:c>
      <x:c r="F944" s="17" t="str">
        <x:v>Amy Demunno - indeterminado;
Ashley Crandall - indeterminado;
Patrick O’doyle - indeterminado</x:v>
      </x:c>
      <x:c r="G944" s="17" t="str">
        <x:v>Concluído</x:v>
      </x:c>
      <x:c r="H944" s="17" t="str">
        <x:v>Pago</x:v>
      </x:c>
      <x:c r="I944" s="21" t="n">
        <x:v>620.49</x:v>
      </x:c>
    </x:row>
    <x:row r="945" ht="15" hidden="0" customHeight="1">
      <x:c r="A945" s="17" t="n">
        <x:v>945</x:v>
      </x:c>
      <x:c r="B945" s="17" t="str">
        <x:v>OP-1244</x:v>
      </x:c>
      <x:c r="C945" s="17" t="str">
        <x:v>OS-5931</x:v>
      </x:c>
      <x:c r="D945" s="17" t="str">
        <x:v>2026-06-10 16:30:00</x:v>
      </x:c>
      <x:c r="E945" s="17" t="str">
        <x:v>Johnson&amp;Johnson</x:v>
      </x:c>
      <x:c r="F945" s="17" t="str">
        <x:v>Carlene Comrie - indeterminado</x:v>
      </x:c>
      <x:c r="G945" s="17" t="str">
        <x:v>Concluído</x:v>
      </x:c>
      <x:c r="H945" s="17" t="str">
        <x:v>Pago</x:v>
      </x:c>
      <x:c r="I945" s="21" t="n">
        <x:v>713.56</x:v>
      </x:c>
    </x:row>
    <x:row r="946" ht="15" hidden="0" customHeight="1">
      <x:c r="A946" s="17" t="n">
        <x:v>946</x:v>
      </x:c>
      <x:c r="B946" s="17" t="str">
        <x:v>OP-1275</x:v>
      </x:c>
      <x:c r="C946" s="17" t="str">
        <x:v>OS-5959</x:v>
      </x:c>
      <x:c r="D946" s="17" t="str">
        <x:v>2026-06-10 17:00:00</x:v>
      </x:c>
      <x:c r="E946" s="17" t="str">
        <x:v>Kenvue</x:v>
      </x:c>
      <x:c r="F946" s="17" t="str">
        <x:v>Dashreen Kaur - +65 812 1144 6</x:v>
      </x:c>
      <x:c r="G946" s="17" t="str">
        <x:v>Concluído</x:v>
      </x:c>
      <x:c r="H946" s="17" t="str">
        <x:v>Pago</x:v>
      </x:c>
      <x:c r="I946" s="21" t="n">
        <x:v>160.51</x:v>
      </x:c>
    </x:row>
    <x:row r="947" ht="15" hidden="0" customHeight="1">
      <x:c r="A947" s="17" t="n">
        <x:v>947</x:v>
      </x:c>
      <x:c r="B947" s="17" t="str">
        <x:v>OP-1234</x:v>
      </x:c>
      <x:c r="C947" s="17" t="str">
        <x:v>OS-6142</x:v>
      </x:c>
      <x:c r="D947" s="17" t="str">
        <x:v>2026-06-10 17:20:00</x:v>
      </x:c>
      <x:c r="E947" s="17" t="str">
        <x:v>Boeing</x:v>
      </x:c>
      <x:c r="F947" s="17" t="str">
        <x:v>Eduardo Augusto Chaves Junqueira - (71) 99972-9631</x:v>
      </x:c>
      <x:c r="G947" s="17" t="str">
        <x:v>Concluído</x:v>
      </x:c>
      <x:c r="H947" s="17" t="str">
        <x:v>Pago</x:v>
      </x:c>
      <x:c r="I947" s="21" t="n">
        <x:v>463.05</x:v>
      </x:c>
    </x:row>
    <x:row r="948" ht="15" hidden="0" customHeight="1">
      <x:c r="A948" s="17" t="n">
        <x:v>948</x:v>
      </x:c>
      <x:c r="B948" s="17" t="str">
        <x:v>OP-1220</x:v>
      </x:c>
      <x:c r="C948" s="17" t="str">
        <x:v>OS-6070</x:v>
      </x:c>
      <x:c r="D948" s="17" t="str">
        <x:v>2026-06-10 17:30:00</x:v>
      </x:c>
      <x:c r="E948" s="17" t="str">
        <x:v>Particular</x:v>
      </x:c>
      <x:c r="F948" s="17" t="str">
        <x:v>Mariana de Souza Bittencourt de Carvalho  - (12) 99758-2917</x:v>
      </x:c>
      <x:c r="G948" s="17" t="str">
        <x:v>Concluído</x:v>
      </x:c>
      <x:c r="H948" s="17" t="str">
        <x:v>Pago</x:v>
      </x:c>
      <x:c r="I948" s="21" t="n">
        <x:v>793.06</x:v>
      </x:c>
    </x:row>
    <x:row r="949" ht="15" hidden="0" customHeight="1">
      <x:c r="A949" s="17" t="n">
        <x:v>949</x:v>
      </x:c>
      <x:c r="B949" s="17" t="str">
        <x:v>OP-1222</x:v>
      </x:c>
      <x:c r="C949" s="17" t="str">
        <x:v>OS-5624</x:v>
      </x:c>
      <x:c r="D949" s="17" t="str">
        <x:v>2026-06-10 18:00:00</x:v>
      </x:c>
      <x:c r="E949" s="17" t="str">
        <x:v>Tenaris</x:v>
      </x:c>
      <x:c r="F949" s="17" t="str">
        <x:v>Chengliang Chad - +966500797746</x:v>
      </x:c>
      <x:c r="G949" s="17" t="str">
        <x:v>Concluído</x:v>
      </x:c>
      <x:c r="H949" s="17" t="str">
        <x:v>Faturamento Mensal</x:v>
      </x:c>
      <x:c r="I949" s="21" t="n">
        <x:v>93.46</x:v>
      </x:c>
    </x:row>
    <x:row r="950" ht="15" hidden="0" customHeight="1">
      <x:c r="A950" s="17" t="n">
        <x:v>950</x:v>
      </x:c>
      <x:c r="B950" s="17" t="str">
        <x:v>OP-1257</x:v>
      </x:c>
      <x:c r="C950" s="17" t="str">
        <x:v>OS-6141</x:v>
      </x:c>
      <x:c r="D950" s="17" t="str">
        <x:v>2026-06-10 19:00:00</x:v>
      </x:c>
      <x:c r="E950" s="17" t="str">
        <x:v>Particular</x:v>
      </x:c>
      <x:c r="F950" s="17" t="str">
        <x:v>Giuliana Pessoa - +55 (12) 98118-1114</x:v>
      </x:c>
      <x:c r="G950" s="17" t="str">
        <x:v>Concluído</x:v>
      </x:c>
      <x:c r="H950" s="17" t="str">
        <x:v>Pago</x:v>
      </x:c>
      <x:c r="I950" s="21" t="n">
        <x:v>687.49</x:v>
      </x:c>
    </x:row>
    <x:row r="951" ht="24" hidden="0" customHeight="1">
      <x:c r="A951" s="17" t="n">
        <x:v>951</x:v>
      </x:c>
      <x:c r="B951" s="17" t="str">
        <x:v>OP-1260</x:v>
      </x:c>
      <x:c r="C951" s="17" t="str">
        <x:v>OS-6163</x:v>
      </x:c>
      <x:c r="D951" s="17" t="str">
        <x:v>2026-06-10 20:00:00</x:v>
      </x:c>
      <x:c r="E951" s="17" t="str">
        <x:v>Latasa Recicla BR</x:v>
      </x:c>
      <x:c r="F951" s="17" t="str">
        <x:v>Samuel da Rocha Machado - +55 (12) 98255-4013;
Deivid Luis Nunes da Silva Correard - +55 (12) 99624-6239</x:v>
      </x:c>
      <x:c r="G951" s="17" t="str">
        <x:v>Concluído</x:v>
      </x:c>
      <x:c r="H951" s="17" t="str">
        <x:v>Composição Realizada</x:v>
      </x:c>
      <x:c r="I951" s="21" t="n">
        <x:v>85</x:v>
      </x:c>
    </x:row>
    <x:row r="952" ht="15" hidden="0" customHeight="1">
      <x:c r="A952" s="17" t="n">
        <x:v>952</x:v>
      </x:c>
      <x:c r="B952" s="17" t="str">
        <x:v>OP-1317</x:v>
      </x:c>
      <x:c r="C952" s="17" t="str">
        <x:v>OS-6093</x:v>
      </x:c>
      <x:c r="D952" s="17" t="str">
        <x:v>2026-06-10 20:00:00</x:v>
      </x:c>
      <x:c r="E952" s="17" t="str">
        <x:v>Kenvue</x:v>
      </x:c>
      <x:c r="F952" s="17" t="str">
        <x:v>Jeison Souza - indeterminado</x:v>
      </x:c>
      <x:c r="G952" s="17" t="str">
        <x:v>Concluído</x:v>
      </x:c>
      <x:c r="H952" s="17" t="str">
        <x:v>Pago</x:v>
      </x:c>
      <x:c r="I952" s="21" t="n">
        <x:v>2590</x:v>
      </x:c>
    </x:row>
    <x:row r="953" ht="15" hidden="0" customHeight="1">
      <x:c r="A953" s="17" t="n">
        <x:v>953</x:v>
      </x:c>
      <x:c r="B953" s="17" t="str">
        <x:v>OP-1244</x:v>
      </x:c>
      <x:c r="C953" s="17" t="str">
        <x:v>OS-5930</x:v>
      </x:c>
      <x:c r="D953" s="17" t="str">
        <x:v>2026-06-11 07:30:00</x:v>
      </x:c>
      <x:c r="E953" s="17" t="str">
        <x:v>Johnson&amp;Johnson</x:v>
      </x:c>
      <x:c r="F953" s="17" t="str">
        <x:v>Carlene Comrie - indeterminado</x:v>
      </x:c>
      <x:c r="G953" s="17" t="str">
        <x:v>Concluído</x:v>
      </x:c>
      <x:c r="H953" s="17" t="str">
        <x:v>Pago</x:v>
      </x:c>
      <x:c r="I953" s="21" t="n">
        <x:v>400.48</x:v>
      </x:c>
    </x:row>
    <x:row r="954" ht="15" hidden="0" customHeight="1">
      <x:c r="A954" s="17" t="n">
        <x:v>954</x:v>
      </x:c>
      <x:c r="B954" s="17" t="str">
        <x:v>OP-1275</x:v>
      </x:c>
      <x:c r="C954" s="17" t="str">
        <x:v>OS-5951</x:v>
      </x:c>
      <x:c r="D954" s="17" t="str">
        <x:v>2026-06-11 08:00:00</x:v>
      </x:c>
      <x:c r="E954" s="17" t="str">
        <x:v>Kenvue</x:v>
      </x:c>
      <x:c r="F954" s="17" t="str">
        <x:v>Dashreen Kaur - +65 812 1144 6</x:v>
      </x:c>
      <x:c r="G954" s="17" t="str">
        <x:v>Concluído</x:v>
      </x:c>
      <x:c r="H954" s="17" t="str">
        <x:v>Pago</x:v>
      </x:c>
      <x:c r="I954" s="21" t="n">
        <x:v>160.51</x:v>
      </x:c>
    </x:row>
    <x:row r="955" ht="15" hidden="0" customHeight="1">
      <x:c r="A955" s="17" t="n">
        <x:v>955</x:v>
      </x:c>
      <x:c r="B955" s="17" t="str">
        <x:v>OP-1222</x:v>
      </x:c>
      <x:c r="C955" s="17" t="str">
        <x:v>OS-5625</x:v>
      </x:c>
      <x:c r="D955" s="17" t="str">
        <x:v>2026-06-11 08:00:00</x:v>
      </x:c>
      <x:c r="E955" s="17" t="str">
        <x:v>Tenaris</x:v>
      </x:c>
      <x:c r="F955" s="17" t="str">
        <x:v>Chengliang Chad - +966500797746</x:v>
      </x:c>
      <x:c r="G955" s="17" t="str">
        <x:v>Concluído</x:v>
      </x:c>
      <x:c r="H955" s="17" t="str">
        <x:v>Faturamento Mensal</x:v>
      </x:c>
      <x:c r="I955" s="21" t="n">
        <x:v>93.46</x:v>
      </x:c>
    </x:row>
    <x:row r="956" ht="15" hidden="0" customHeight="1">
      <x:c r="A956" s="17" t="n">
        <x:v>956</x:v>
      </x:c>
      <x:c r="B956" s="17" t="str">
        <x:v>OP-1289</x:v>
      </x:c>
      <x:c r="C956" s="17" t="str">
        <x:v>OS-5812</x:v>
      </x:c>
      <x:c r="D956" s="17" t="str">
        <x:v>2026-06-11 08:30:00</x:v>
      </x:c>
      <x:c r="E956" s="17" t="str">
        <x:v>Johnson&amp;Johnson</x:v>
      </x:c>
      <x:c r="F956" s="17" t="str">
        <x:v>Alberto Cardoso - +55 (12) 99629-4747</x:v>
      </x:c>
      <x:c r="G956" s="17" t="str">
        <x:v>Concluído</x:v>
      </x:c>
      <x:c r="H956" s="17" t="str">
        <x:v>Pago</x:v>
      </x:c>
      <x:c r="I956" s="21" t="n">
        <x:v>139.58</x:v>
      </x:c>
    </x:row>
    <x:row r="957" ht="15" hidden="0" customHeight="1">
      <x:c r="A957" s="17" t="n">
        <x:v>957</x:v>
      </x:c>
      <x:c r="B957" s="17" t="str">
        <x:v>OP-1222</x:v>
      </x:c>
      <x:c r="C957" s="17" t="str">
        <x:v>OS-5619</x:v>
      </x:c>
      <x:c r="D957" s="17" t="str">
        <x:v>2026-06-11 15:30:00</x:v>
      </x:c>
      <x:c r="E957" s="17" t="str">
        <x:v>Tenaris</x:v>
      </x:c>
      <x:c r="F957" s="17" t="str">
        <x:v>Chengliang Chad - +966500797746</x:v>
      </x:c>
      <x:c r="G957" s="17" t="str">
        <x:v>Concluído</x:v>
      </x:c>
      <x:c r="H957" s="17" t="str">
        <x:v>Faturamento Mensal</x:v>
      </x:c>
      <x:c r="I957" s="21" t="n">
        <x:v>548.33</x:v>
      </x:c>
    </x:row>
    <x:row r="958" ht="15" hidden="0" customHeight="1">
      <x:c r="A958" s="17" t="n">
        <x:v>958</x:v>
      </x:c>
      <x:c r="B958" s="17" t="str">
        <x:v>OP-1289</x:v>
      </x:c>
      <x:c r="C958" s="17" t="str">
        <x:v>OS-5856</x:v>
      </x:c>
      <x:c r="D958" s="17" t="str">
        <x:v>2026-06-11 15:30:00</x:v>
      </x:c>
      <x:c r="E958" s="17" t="str">
        <x:v>Johnson&amp;Johnson</x:v>
      </x:c>
      <x:c r="F958" s="17" t="str">
        <x:v>Alberto Cardoso - +55 (12) 99629-4747</x:v>
      </x:c>
      <x:c r="G958" s="17" t="str">
        <x:v>Concluído</x:v>
      </x:c>
      <x:c r="H958" s="17" t="str">
        <x:v>Pago</x:v>
      </x:c>
      <x:c r="I958" s="21" t="n">
        <x:v>139.58</x:v>
      </x:c>
    </x:row>
    <x:row r="959" ht="15" hidden="0" customHeight="1">
      <x:c r="A959" s="17" t="n">
        <x:v>959</x:v>
      </x:c>
      <x:c r="B959" s="17" t="str">
        <x:v>OP-1223</x:v>
      </x:c>
      <x:c r="C959" s="17" t="str">
        <x:v>OS-5998</x:v>
      </x:c>
      <x:c r="D959" s="17" t="str">
        <x:v>2026-06-11 16:30:00</x:v>
      </x:c>
      <x:c r="E959" s="17" t="str">
        <x:v>Kenvue</x:v>
      </x:c>
      <x:c r="F959" s="17" t="str">
        <x:v>Sowmya Mandanapu - indeterminado</x:v>
      </x:c>
      <x:c r="G959" s="17" t="str">
        <x:v>Concluído</x:v>
      </x:c>
      <x:c r="H959" s="17" t="str">
        <x:v>Composição Realizada</x:v>
      </x:c>
      <x:c r="I959" s="21" t="n">
        <x:v>620.49</x:v>
      </x:c>
    </x:row>
    <x:row r="960" ht="15" hidden="0" customHeight="1">
      <x:c r="A960" s="17" t="n">
        <x:v>960</x:v>
      </x:c>
      <x:c r="B960" s="17" t="str">
        <x:v>OP-1275</x:v>
      </x:c>
      <x:c r="C960" s="17" t="str">
        <x:v>OS-5960</x:v>
      </x:c>
      <x:c r="D960" s="17" t="str">
        <x:v>2026-06-11 17:00:00</x:v>
      </x:c>
      <x:c r="E960" s="17" t="str">
        <x:v>Kenvue</x:v>
      </x:c>
      <x:c r="F960" s="17" t="str">
        <x:v>Dashreen Kaur - +65 812 1144 6</x:v>
      </x:c>
      <x:c r="G960" s="17" t="str">
        <x:v>Concluído</x:v>
      </x:c>
      <x:c r="H960" s="17" t="str">
        <x:v>Pago</x:v>
      </x:c>
      <x:c r="I960" s="21" t="n">
        <x:v>0</x:v>
      </x:c>
    </x:row>
    <x:row r="961" ht="15" hidden="0" customHeight="1">
      <x:c r="A961" s="17" t="n">
        <x:v>961</x:v>
      </x:c>
      <x:c r="B961" s="17" t="str">
        <x:v>OP-1234</x:v>
      </x:c>
      <x:c r="C961" s="17" t="str">
        <x:v>OS-6144</x:v>
      </x:c>
      <x:c r="D961" s="17" t="str">
        <x:v>2026-06-11 17:20:00</x:v>
      </x:c>
      <x:c r="E961" s="17" t="str">
        <x:v>Boeing</x:v>
      </x:c>
      <x:c r="F961" s="17" t="str">
        <x:v>Marcelo Rodolfo De Assis - (12) 98122-2772</x:v>
      </x:c>
      <x:c r="G961" s="17" t="str">
        <x:v>Concluído</x:v>
      </x:c>
      <x:c r="H961" s="17" t="str">
        <x:v>Pago</x:v>
      </x:c>
      <x:c r="I961" s="21" t="n">
        <x:v>613.05</x:v>
      </x:c>
    </x:row>
    <x:row r="962" ht="24" hidden="0" customHeight="1">
      <x:c r="A962" s="17" t="n">
        <x:v>962</x:v>
      </x:c>
      <x:c r="B962" s="17" t="str">
        <x:v>OP-1234</x:v>
      </x:c>
      <x:c r="C962" s="17" t="str">
        <x:v>OS-6143</x:v>
      </x:c>
      <x:c r="D962" s="17" t="str">
        <x:v>2026-06-11 17:25:00</x:v>
      </x:c>
      <x:c r="E962" s="17" t="str">
        <x:v>Boeing</x:v>
      </x:c>
      <x:c r="F962" s="17" t="str">
        <x:v>Luis Tibana - (12) 98834-1501;
Monalisa de Cassia Guimaraes Varao - (12) 98174-4848</x:v>
      </x:c>
      <x:c r="G962" s="17" t="str">
        <x:v>Concluído</x:v>
      </x:c>
      <x:c r="H962" s="17" t="str">
        <x:v>Pago</x:v>
      </x:c>
      <x:c r="I962" s="21" t="n">
        <x:v>463.05</x:v>
      </x:c>
    </x:row>
    <x:row r="963" ht="15" hidden="0" customHeight="1">
      <x:c r="A963" s="17" t="n">
        <x:v>963</x:v>
      </x:c>
      <x:c r="B963" s="17" t="str">
        <x:v>OP-1244</x:v>
      </x:c>
      <x:c r="C963" s="17" t="str">
        <x:v>OS-5932</x:v>
      </x:c>
      <x:c r="D963" s="17" t="str">
        <x:v>2026-06-11 19:00:00</x:v>
      </x:c>
      <x:c r="E963" s="17" t="str">
        <x:v>Johnson&amp;Johnson</x:v>
      </x:c>
      <x:c r="F963" s="17" t="str">
        <x:v>Carlene Comrie - indeterminado</x:v>
      </x:c>
      <x:c r="G963" s="17" t="str">
        <x:v>Concluído</x:v>
      </x:c>
      <x:c r="H963" s="17" t="str">
        <x:v>Pago</x:v>
      </x:c>
      <x:c r="I963" s="21" t="n">
        <x:v>400.48</x:v>
      </x:c>
    </x:row>
    <x:row r="964" ht="15" hidden="0" customHeight="1">
      <x:c r="A964" s="17" t="n">
        <x:v>964</x:v>
      </x:c>
      <x:c r="B964" s="17" t="str">
        <x:v>OP-1271</x:v>
      </x:c>
      <x:c r="C964" s="17" t="str">
        <x:v>OS-6198</x:v>
      </x:c>
      <x:c r="D964" s="17" t="str">
        <x:v>2026-06-11 20:00:00</x:v>
      </x:c>
      <x:c r="E964" s="17" t="str">
        <x:v>Johnson&amp;Johnson</x:v>
      </x:c>
      <x:c r="F964" s="17" t="str">
        <x:v>Marcos Pereira - +55 (12) 98127-8432</x:v>
      </x:c>
      <x:c r="G964" s="17" t="str">
        <x:v>Concluído</x:v>
      </x:c>
      <x:c r="H964" s="17" t="str">
        <x:v>Pago</x:v>
      </x:c>
      <x:c r="I964" s="21" t="n">
        <x:v>442.98</x:v>
      </x:c>
    </x:row>
    <x:row r="965" ht="15" hidden="0" customHeight="1">
      <x:c r="A965" s="17" t="n">
        <x:v>965</x:v>
      </x:c>
      <x:c r="B965" s="17" t="str">
        <x:v>OP-1317</x:v>
      </x:c>
      <x:c r="C965" s="17" t="str">
        <x:v>OS-6094</x:v>
      </x:c>
      <x:c r="D965" s="17" t="str">
        <x:v>2026-06-11 20:00:00</x:v>
      </x:c>
      <x:c r="E965" s="17" t="str">
        <x:v>Kenvue</x:v>
      </x:c>
      <x:c r="F965" s="17" t="str">
        <x:v>Jeison Souza - indeterminado</x:v>
      </x:c>
      <x:c r="G965" s="17" t="str">
        <x:v>Concluído</x:v>
      </x:c>
      <x:c r="H965" s="17" t="str">
        <x:v>Pago</x:v>
      </x:c>
      <x:c r="I965" s="21" t="n">
        <x:v>2590</x:v>
      </x:c>
    </x:row>
    <x:row r="966" ht="15" hidden="0" customHeight="1">
      <x:c r="A966" s="17" t="n">
        <x:v>966</x:v>
      </x:c>
      <x:c r="B966" s="17" t="str">
        <x:v>OP-1245</x:v>
      </x:c>
      <x:c r="C966" s="17" t="str">
        <x:v>OS-5646</x:v>
      </x:c>
      <x:c r="D966" s="17" t="str">
        <x:v>2026-06-12 07:00:00</x:v>
      </x:c>
      <x:c r="E966" s="17" t="str">
        <x:v>Johnson&amp;Johnson</x:v>
      </x:c>
      <x:c r="F966" s="17" t="str">
        <x:v>Maíra Marion Martins - 12 98156-1407</x:v>
      </x:c>
      <x:c r="G966" s="17" t="str">
        <x:v>Concluído</x:v>
      </x:c>
      <x:c r="H966" s="17" t="str">
        <x:v>Pago</x:v>
      </x:c>
      <x:c r="I966" s="21" t="n">
        <x:v>509.98</x:v>
      </x:c>
    </x:row>
    <x:row r="967" ht="15" hidden="0" customHeight="1">
      <x:c r="A967" s="17" t="n">
        <x:v>967</x:v>
      </x:c>
      <x:c r="B967" s="17" t="str">
        <x:v>OP-1289</x:v>
      </x:c>
      <x:c r="C967" s="17" t="str">
        <x:v>OS-5813</x:v>
      </x:c>
      <x:c r="D967" s="17" t="str">
        <x:v>2026-06-12 08:30:00</x:v>
      </x:c>
      <x:c r="E967" s="17" t="str">
        <x:v>Johnson&amp;Johnson</x:v>
      </x:c>
      <x:c r="F967" s="17" t="str">
        <x:v>Alberto Cardoso - +55 (12) 99629-4747</x:v>
      </x:c>
      <x:c r="G967" s="17" t="str">
        <x:v>Concluído</x:v>
      </x:c>
      <x:c r="H967" s="17" t="str">
        <x:v>Pago</x:v>
      </x:c>
      <x:c r="I967" s="21" t="n">
        <x:v>139.58</x:v>
      </x:c>
    </x:row>
    <x:row r="968" ht="15" hidden="0" customHeight="1">
      <x:c r="A968" s="17" t="n">
        <x:v>968</x:v>
      </x:c>
      <x:c r="B968" s="17" t="str">
        <x:v>OP-1275</x:v>
      </x:c>
      <x:c r="C968" s="17" t="str">
        <x:v>OS-5952</x:v>
      </x:c>
      <x:c r="D968" s="17" t="str">
        <x:v>2026-06-12 12:30:00</x:v>
      </x:c>
      <x:c r="E968" s="17" t="str">
        <x:v>Kenvue</x:v>
      </x:c>
      <x:c r="F968" s="17" t="str">
        <x:v>Dashreen Kaur - +65 812 1144 6</x:v>
      </x:c>
      <x:c r="G968" s="17" t="str">
        <x:v>Concluído</x:v>
      </x:c>
      <x:c r="H968" s="17" t="str">
        <x:v>Pago</x:v>
      </x:c>
      <x:c r="I968" s="21" t="n">
        <x:v>160.51</x:v>
      </x:c>
    </x:row>
    <x:row r="969" ht="15" hidden="0" customHeight="1">
      <x:c r="A969" s="17" t="n">
        <x:v>969</x:v>
      </x:c>
      <x:c r="B969" s="17" t="str">
        <x:v>OP-1260</x:v>
      </x:c>
      <x:c r="C969" s="17" t="str">
        <x:v>OS-6061</x:v>
      </x:c>
      <x:c r="D969" s="17" t="str">
        <x:v>2026-06-12 13:30:00</x:v>
      </x:c>
      <x:c r="E969" s="17" t="str">
        <x:v>Latasa Recicla BR</x:v>
      </x:c>
      <x:c r="F969" s="17" t="str">
        <x:v>Tiago Henrique Santos Xavier - (12) 99142-8629</x:v>
      </x:c>
      <x:c r="G969" s="17" t="str">
        <x:v>Concluído</x:v>
      </x:c>
      <x:c r="H969" s="17" t="str">
        <x:v>Composição Realizada</x:v>
      </x:c>
      <x:c r="I969" s="21" t="n">
        <x:v>315</x:v>
      </x:c>
    </x:row>
    <x:row r="970" ht="15" hidden="0" customHeight="1">
      <x:c r="A970" s="17" t="n">
        <x:v>970</x:v>
      </x:c>
      <x:c r="B970" s="17" t="str">
        <x:v>OP-1243</x:v>
      </x:c>
      <x:c r="C970" s="17" t="str">
        <x:v>OS-6189</x:v>
      </x:c>
      <x:c r="D970" s="17" t="str">
        <x:v>2026-06-12 13:30:00</x:v>
      </x:c>
      <x:c r="E970" s="17" t="str">
        <x:v>Particular</x:v>
      </x:c>
      <x:c r="F970" s="17" t="str">
        <x:v>Bala - +1 (346) 762-3565</x:v>
      </x:c>
      <x:c r="G970" s="17" t="str">
        <x:v>Concluído</x:v>
      </x:c>
      <x:c r="H970" s="17" t="str">
        <x:v>Pago</x:v>
      </x:c>
      <x:c r="I970" s="21" t="n">
        <x:v>430</x:v>
      </x:c>
    </x:row>
    <x:row r="971" ht="15" hidden="0" customHeight="1">
      <x:c r="A971" s="17" t="n">
        <x:v>971</x:v>
      </x:c>
      <x:c r="B971" s="17" t="str">
        <x:v>OP-1289</x:v>
      </x:c>
      <x:c r="C971" s="17" t="str">
        <x:v>OS-5857</x:v>
      </x:c>
      <x:c r="D971" s="17" t="str">
        <x:v>2026-06-12 15:30:00</x:v>
      </x:c>
      <x:c r="E971" s="17" t="str">
        <x:v>Johnson&amp;Johnson</x:v>
      </x:c>
      <x:c r="F971" s="17" t="str">
        <x:v>Alberto Cardoso - +55 (12) 99629-4747</x:v>
      </x:c>
      <x:c r="G971" s="17" t="str">
        <x:v>Concluído</x:v>
      </x:c>
      <x:c r="H971" s="17" t="str">
        <x:v>Pago</x:v>
      </x:c>
      <x:c r="I971" s="21" t="n">
        <x:v>139.58</x:v>
      </x:c>
    </x:row>
    <x:row r="972" ht="15" hidden="0" customHeight="1">
      <x:c r="A972" s="17" t="n">
        <x:v>972</x:v>
      </x:c>
      <x:c r="B972" s="17" t="str">
        <x:v>OP-1275</x:v>
      </x:c>
      <x:c r="C972" s="17" t="str">
        <x:v>OS-5961</x:v>
      </x:c>
      <x:c r="D972" s="17" t="str">
        <x:v>2026-06-12 16:00:00</x:v>
      </x:c>
      <x:c r="E972" s="17" t="str">
        <x:v>Kenvue</x:v>
      </x:c>
      <x:c r="F972" s="17" t="str">
        <x:v>Dashreen Kaur - +65 812 1144 6</x:v>
      </x:c>
      <x:c r="G972" s="17" t="str">
        <x:v>Concluído</x:v>
      </x:c>
      <x:c r="H972" s="17" t="str">
        <x:v>Pago</x:v>
      </x:c>
      <x:c r="I972" s="21" t="n">
        <x:v>160.51</x:v>
      </x:c>
    </x:row>
    <x:row r="973" ht="15" hidden="0" customHeight="1">
      <x:c r="A973" s="17" t="n">
        <x:v>973</x:v>
      </x:c>
      <x:c r="B973" s="17" t="str">
        <x:v>OP-1244</x:v>
      </x:c>
      <x:c r="C973" s="17" t="str">
        <x:v>OS-5927</x:v>
      </x:c>
      <x:c r="D973" s="17" t="str">
        <x:v>2026-06-12 16:30:00</x:v>
      </x:c>
      <x:c r="E973" s="17" t="str">
        <x:v>Johnson&amp;Johnson</x:v>
      </x:c>
      <x:c r="F973" s="17" t="str">
        <x:v>Carlene Comrie - indeterminado</x:v>
      </x:c>
      <x:c r="G973" s="17" t="str">
        <x:v>Concluído</x:v>
      </x:c>
      <x:c r="H973" s="17" t="str">
        <x:v>Pago</x:v>
      </x:c>
      <x:c r="I973" s="21" t="n">
        <x:v>713.56</x:v>
      </x:c>
    </x:row>
    <x:row r="974" ht="15" hidden="0" customHeight="1">
      <x:c r="A974" s="17" t="n">
        <x:v>974</x:v>
      </x:c>
      <x:c r="B974" s="17" t="str">
        <x:v>OP-1317</x:v>
      </x:c>
      <x:c r="C974" s="17" t="str">
        <x:v>OS-6972</x:v>
      </x:c>
      <x:c r="D974" s="17" t="str">
        <x:v>2026-06-12 20:00:00</x:v>
      </x:c>
      <x:c r="E974" s="17" t="str">
        <x:v>Kenvue</x:v>
      </x:c>
      <x:c r="F974" s="17" t="str">
        <x:v>Jeison Souza - indeterminado</x:v>
      </x:c>
      <x:c r="G974" s="17" t="str">
        <x:v>Concluído</x:v>
      </x:c>
      <x:c r="H974" s="17" t="str">
        <x:v>Pago</x:v>
      </x:c>
      <x:c r="I974" s="21" t="n">
        <x:v>2590</x:v>
      </x:c>
    </x:row>
    <x:row r="975" ht="15" hidden="0" customHeight="1">
      <x:c r="A975" s="17" t="n">
        <x:v>975</x:v>
      </x:c>
      <x:c r="B975" s="17" t="str">
        <x:v>OP-1247</x:v>
      </x:c>
      <x:c r="C975" s="17" t="str">
        <x:v>OS-5943</x:v>
      </x:c>
      <x:c r="D975" s="17" t="str">
        <x:v>2026-06-13 06:30:00</x:v>
      </x:c>
      <x:c r="E975" s="17" t="str">
        <x:v>Boeing</x:v>
      </x:c>
      <x:c r="F975" s="17" t="str">
        <x:v>Rodrigo Ventura - +55 (12) 97403-8375</x:v>
      </x:c>
      <x:c r="G975" s="17" t="str">
        <x:v>Concluído</x:v>
      </x:c>
      <x:c r="H975" s="17" t="str">
        <x:v>Pagamento Pendente</x:v>
      </x:c>
      <x:c r="I975" s="21" t="n">
        <x:v>463.05</x:v>
      </x:c>
    </x:row>
    <x:row r="976" ht="15" hidden="0" customHeight="1">
      <x:c r="A976" s="17" t="n">
        <x:v>976</x:v>
      </x:c>
      <x:c r="B976" s="17" t="str">
        <x:v>OP-1248</x:v>
      </x:c>
      <x:c r="C976" s="17" t="str">
        <x:v>OS-5941</x:v>
      </x:c>
      <x:c r="D976" s="17" t="str">
        <x:v>2026-06-13 09:00:00</x:v>
      </x:c>
      <x:c r="E976" s="17" t="str">
        <x:v>Boeing</x:v>
      </x:c>
      <x:c r="F976" s="17" t="str">
        <x:v>Alvaro Reis - +1 (298) 138-9887-5512</x:v>
      </x:c>
      <x:c r="G976" s="17" t="str">
        <x:v>Concluído</x:v>
      </x:c>
      <x:c r="H976" s="17" t="str">
        <x:v>Pago</x:v>
      </x:c>
      <x:c r="I976" s="21" t="n">
        <x:v>463.05</x:v>
      </x:c>
    </x:row>
    <x:row r="977" ht="15" hidden="0" customHeight="1">
      <x:c r="A977" s="17" t="n">
        <x:v>977</x:v>
      </x:c>
      <x:c r="B977" s="17" t="str">
        <x:v>OP-1249</x:v>
      </x:c>
      <x:c r="C977" s="17" t="str">
        <x:v>OS-5942</x:v>
      </x:c>
      <x:c r="D977" s="17" t="str">
        <x:v>2026-06-13 09:00:00</x:v>
      </x:c>
      <x:c r="E977" s="17" t="str">
        <x:v>Boeing</x:v>
      </x:c>
      <x:c r="F977" s="17" t="str">
        <x:v>Raphael Lima Moura - +55 (12) 98230-2518</x:v>
      </x:c>
      <x:c r="G977" s="17" t="str">
        <x:v>Concluído</x:v>
      </x:c>
      <x:c r="H977" s="17" t="str">
        <x:v>Pago</x:v>
      </x:c>
      <x:c r="I977" s="21" t="n">
        <x:v>463.05</x:v>
      </x:c>
    </x:row>
    <x:row r="978" ht="24" hidden="0" customHeight="1">
      <x:c r="A978" s="17" t="n">
        <x:v>978</x:v>
      </x:c>
      <x:c r="B978" s="17" t="str">
        <x:v>OP-1297</x:v>
      </x:c>
      <x:c r="C978" s="17" t="str">
        <x:v>OS-6216</x:v>
      </x:c>
      <x:c r="D978" s="17" t="str">
        <x:v>2026-06-13 16:30:00</x:v>
      </x:c>
      <x:c r="E978" s="17" t="str">
        <x:v>Boeing</x:v>
      </x:c>
      <x:c r="F978" s="17" t="str">
        <x:v>Suzy Higashibara - +55 (12) 99177-8455;
Larissa Lemes Avari Lauterjung - +55 (12) 98131-5086</x:v>
      </x:c>
      <x:c r="G978" s="17" t="str">
        <x:v>Concluído</x:v>
      </x:c>
      <x:c r="H978" s="17" t="str">
        <x:v>Pago</x:v>
      </x:c>
      <x:c r="I978" s="21" t="n">
        <x:v>495.89</x:v>
      </x:c>
    </x:row>
    <x:row r="979" ht="15" hidden="0" customHeight="1">
      <x:c r="A979" s="17" t="n">
        <x:v>979</x:v>
      </x:c>
      <x:c r="B979" s="17" t="str">
        <x:v>OP-1268</x:v>
      </x:c>
      <x:c r="C979" s="17" t="str">
        <x:v>OS-5704</x:v>
      </x:c>
      <x:c r="D979" s="17" t="str">
        <x:v>2026-06-13 17:10:00</x:v>
      </x:c>
      <x:c r="E979" s="17" t="str">
        <x:v>Kenvue</x:v>
      </x:c>
      <x:c r="F979" s="17" t="str">
        <x:v>Sr. Arunava Banerjee - +1 (609) 553-5715</x:v>
      </x:c>
      <x:c r="G979" s="17" t="str">
        <x:v>Concluído</x:v>
      </x:c>
      <x:c r="H979" s="17" t="str">
        <x:v>Pago</x:v>
      </x:c>
      <x:c r="I979" s="21" t="n">
        <x:v>496.35</x:v>
      </x:c>
    </x:row>
    <x:row r="980" ht="24" hidden="0" customHeight="1">
      <x:c r="A980" s="17" t="n">
        <x:v>980</x:v>
      </x:c>
      <x:c r="B980" s="17" t="str">
        <x:v>OP-1251</x:v>
      </x:c>
      <x:c r="C980" s="17" t="str">
        <x:v>OS-5925</x:v>
      </x:c>
      <x:c r="D980" s="17" t="str">
        <x:v>2026-06-13 17:30:00</x:v>
      </x:c>
      <x:c r="E980" s="17" t="str">
        <x:v>Johnson&amp;Johnson</x:v>
      </x:c>
      <x:c r="F980" s="17" t="str">
        <x:v>Marcos Vinicius dos Santos - (12) 99783-8214;
Luciana Yagui - +55 (12) 99123-3288</x:v>
      </x:c>
      <x:c r="G980" s="17" t="str">
        <x:v>Concluído</x:v>
      </x:c>
      <x:c r="H980" s="17" t="str">
        <x:v>Pago</x:v>
      </x:c>
      <x:c r="I980" s="21" t="n">
        <x:v>558.86</x:v>
      </x:c>
    </x:row>
    <x:row r="981" ht="15" hidden="0" customHeight="1">
      <x:c r="A981" s="17" t="n">
        <x:v>981</x:v>
      </x:c>
      <x:c r="B981" s="17" t="str">
        <x:v>OP-1182</x:v>
      </x:c>
      <x:c r="C981" s="17" t="str">
        <x:v>OS-5631</x:v>
      </x:c>
      <x:c r="D981" s="17" t="str">
        <x:v>2026-06-14 06:30:00</x:v>
      </x:c>
      <x:c r="E981" s="17" t="str">
        <x:v>Johnson&amp;Johnson</x:v>
      </x:c>
      <x:c r="F981" s="17" t="str">
        <x:v>Pedro Duque - (12) 99224-1558</x:v>
      </x:c>
      <x:c r="G981" s="17" t="str">
        <x:v>Concluído</x:v>
      </x:c>
      <x:c r="H981" s="17" t="str">
        <x:v>Pago</x:v>
      </x:c>
      <x:c r="I981" s="21" t="n">
        <x:v>509.98</x:v>
      </x:c>
    </x:row>
    <x:row r="982" ht="15" hidden="0" customHeight="1">
      <x:c r="A982" s="17" t="n">
        <x:v>982</x:v>
      </x:c>
      <x:c r="B982" s="17" t="str">
        <x:v>OP-1265</x:v>
      </x:c>
      <x:c r="C982" s="17" t="str">
        <x:v>OS-5701</x:v>
      </x:c>
      <x:c r="D982" s="17" t="str">
        <x:v>2026-06-14 08:00:00</x:v>
      </x:c>
      <x:c r="E982" s="17" t="str">
        <x:v>Kenvue</x:v>
      </x:c>
      <x:c r="F982" s="17" t="str">
        <x:v>Waleska Albino Rodríguez - +1 813 210 4807</x:v>
      </x:c>
      <x:c r="G982" s="17" t="str">
        <x:v>Concluído</x:v>
      </x:c>
      <x:c r="H982" s="17" t="str">
        <x:v>Pago</x:v>
      </x:c>
      <x:c r="I982" s="21" t="n">
        <x:v>992.36</x:v>
      </x:c>
    </x:row>
    <x:row r="983" ht="15" hidden="0" customHeight="1">
      <x:c r="A983" s="17" t="n">
        <x:v>983</x:v>
      </x:c>
      <x:c r="B983" s="17" t="str">
        <x:v>OP-1269</x:v>
      </x:c>
      <x:c r="C983" s="17" t="str">
        <x:v>OS-6041</x:v>
      </x:c>
      <x:c r="D983" s="17" t="str">
        <x:v>2026-06-14 17:00:00</x:v>
      </x:c>
      <x:c r="E983" s="17" t="str">
        <x:v>Johnson&amp;Johnson</x:v>
      </x:c>
      <x:c r="F983" s="17" t="str">
        <x:v>Thais Ferrara - +55 (12) 99211-3851</x:v>
      </x:c>
      <x:c r="G983" s="17" t="str">
        <x:v>Concluído</x:v>
      </x:c>
      <x:c r="H983" s="17" t="str">
        <x:v>Pago</x:v>
      </x:c>
      <x:c r="I983" s="21" t="n">
        <x:v>491.86</x:v>
      </x:c>
    </x:row>
    <x:row r="984" ht="15" hidden="0" customHeight="1">
      <x:c r="A984" s="17" t="n">
        <x:v>984</x:v>
      </x:c>
      <x:c r="B984" s="17" t="str">
        <x:v>OP-1268</x:v>
      </x:c>
      <x:c r="C984" s="17" t="str">
        <x:v>OS-6247</x:v>
      </x:c>
      <x:c r="D984" s="17" t="str">
        <x:v>2026-06-14 17:10:00</x:v>
      </x:c>
      <x:c r="E984" s="17" t="str">
        <x:v>Kenvue</x:v>
      </x:c>
      <x:c r="F984" s="17" t="str">
        <x:v>Sr. Arunava Banerjee - +1 (609) 553-5715</x:v>
      </x:c>
      <x:c r="G984" s="17" t="str">
        <x:v>Concluído</x:v>
      </x:c>
      <x:c r="H984" s="17" t="str">
        <x:v>Pago</x:v>
      </x:c>
      <x:c r="I984" s="21" t="n">
        <x:v>496.35</x:v>
      </x:c>
    </x:row>
    <x:row r="985" ht="15" hidden="0" customHeight="1">
      <x:c r="A985" s="17" t="n">
        <x:v>985</x:v>
      </x:c>
      <x:c r="B985" s="17" t="str">
        <x:v>OP-1281</x:v>
      </x:c>
      <x:c r="C985" s="17" t="str">
        <x:v>OS-6078</x:v>
      </x:c>
      <x:c r="D985" s="17" t="str">
        <x:v>2026-06-15 03:00:00</x:v>
      </x:c>
      <x:c r="E985" s="17" t="str">
        <x:v>Johnson&amp;Johnson</x:v>
      </x:c>
      <x:c r="F985" s="17" t="str">
        <x:v>Fernando Santos Rodrigues - +55 (12) 99102-3546</x:v>
      </x:c>
      <x:c r="G985" s="17" t="str">
        <x:v>Concluído</x:v>
      </x:c>
      <x:c r="H985" s="17" t="str">
        <x:v>Pago</x:v>
      </x:c>
      <x:c r="I985" s="21" t="n">
        <x:v>603.49</x:v>
      </x:c>
    </x:row>
    <x:row r="986" ht="24" hidden="0" customHeight="1">
      <x:c r="A986" s="17" t="n">
        <x:v>986</x:v>
      </x:c>
      <x:c r="B986" s="17" t="str">
        <x:v>OP-1280</x:v>
      </x:c>
      <x:c r="C986" s="17" t="str">
        <x:v>OS-6181</x:v>
      </x:c>
      <x:c r="D986" s="17" t="str">
        <x:v>2026-06-15 04:30:00</x:v>
      </x:c>
      <x:c r="E986" s="17" t="str">
        <x:v>Kenvue</x:v>
      </x:c>
      <x:c r="F986" s="17" t="str">
        <x:v>Marcelle Rangel Barcelar - +55 (12) 98172-3039;
Filippe Ugayama - +55 (12) 98126-4200</x:v>
      </x:c>
      <x:c r="G986" s="17" t="str">
        <x:v>Concluído</x:v>
      </x:c>
      <x:c r="H986" s="17" t="str">
        <x:v>Pagamento Pendente</x:v>
      </x:c>
      <x:c r="I986" s="21" t="n">
        <x:v>478.23</x:v>
      </x:c>
    </x:row>
    <x:row r="987" ht="15" hidden="0" customHeight="1">
      <x:c r="A987" s="17" t="n">
        <x:v>987</x:v>
      </x:c>
      <x:c r="B987" s="17" t="str">
        <x:v>OP-1304</x:v>
      </x:c>
      <x:c r="C987" s="17" t="str">
        <x:v>OS-6226</x:v>
      </x:c>
      <x:c r="D987" s="17" t="str">
        <x:v>2026-06-15 05:05:00</x:v>
      </x:c>
      <x:c r="E987" s="17" t="str">
        <x:v>Mckinsey</x:v>
      </x:c>
      <x:c r="F987" s="17" t="str">
        <x:v>Willian Bezerra - indeterminado</x:v>
      </x:c>
      <x:c r="G987" s="17" t="str">
        <x:v>Concluído</x:v>
      </x:c>
      <x:c r="H987" s="17" t="str">
        <x:v>Pago</x:v>
      </x:c>
      <x:c r="I987" s="21" t="n">
        <x:v>576.42</x:v>
      </x:c>
    </x:row>
    <x:row r="988" ht="15" hidden="0" customHeight="1">
      <x:c r="A988" s="17" t="n">
        <x:v>988</x:v>
      </x:c>
      <x:c r="B988" s="17" t="str">
        <x:v>OP-1272</x:v>
      </x:c>
      <x:c r="C988" s="17" t="str">
        <x:v>OS-6249</x:v>
      </x:c>
      <x:c r="D988" s="17" t="str">
        <x:v>2026-06-15 05:40:00</x:v>
      </x:c>
      <x:c r="E988" s="17" t="str">
        <x:v>Johnson&amp;Johnson</x:v>
      </x:c>
      <x:c r="F988" s="17" t="str">
        <x:v>Kennon Yori - indeterminado</x:v>
      </x:c>
      <x:c r="G988" s="17" t="str">
        <x:v>Concluído</x:v>
      </x:c>
      <x:c r="H988" s="17" t="str">
        <x:v>Pago</x:v>
      </x:c>
      <x:c r="I988" s="21" t="n">
        <x:v>1253.94</x:v>
      </x:c>
    </x:row>
    <x:row r="989" ht="15" hidden="0" customHeight="1">
      <x:c r="A989" s="17" t="n">
        <x:v>989</x:v>
      </x:c>
      <x:c r="B989" s="17" t="str">
        <x:v>OP-1304</x:v>
      </x:c>
      <x:c r="C989" s="17" t="str">
        <x:v>OS-6227</x:v>
      </x:c>
      <x:c r="D989" s="17" t="str">
        <x:v>2026-06-15 06:00:00</x:v>
      </x:c>
      <x:c r="E989" s="17" t="str">
        <x:v>Mckinsey</x:v>
      </x:c>
      <x:c r="F989" s="17" t="str">
        <x:v>Mahsa Galiani - indeterminado</x:v>
      </x:c>
      <x:c r="G989" s="17" t="str">
        <x:v>Concluído</x:v>
      </x:c>
      <x:c r="H989" s="17" t="str">
        <x:v>Pago</x:v>
      </x:c>
      <x:c r="I989" s="21" t="n">
        <x:v>713.56</x:v>
      </x:c>
    </x:row>
    <x:row r="990" ht="24" hidden="0" customHeight="1">
      <x:c r="A990" s="17" t="n">
        <x:v>990</x:v>
      </x:c>
      <x:c r="B990" s="17" t="str">
        <x:v>OP-1267</x:v>
      </x:c>
      <x:c r="C990" s="17" t="str">
        <x:v>OS-6043</x:v>
      </x:c>
      <x:c r="D990" s="17" t="str">
        <x:v>2026-06-15 07:10:00</x:v>
      </x:c>
      <x:c r="E990" s="17" t="str">
        <x:v>Johnson&amp;Johnson</x:v>
      </x:c>
      <x:c r="F990" s="17" t="str">
        <x:v>Albert Liu - +1 (310) 462-6175;
Taifa Nyiendo - +1 (908) 933-8369-6</x:v>
      </x:c>
      <x:c r="G990" s="17" t="str">
        <x:v>Concluído</x:v>
      </x:c>
      <x:c r="H990" s="17" t="str">
        <x:v>Pago</x:v>
      </x:c>
      <x:c r="I990" s="21" t="n">
        <x:v>807.14</x:v>
      </x:c>
    </x:row>
    <x:row r="991" ht="24" hidden="0" customHeight="1">
      <x:c r="A991" s="17" t="n">
        <x:v>991</x:v>
      </x:c>
      <x:c r="B991" s="17" t="str">
        <x:v>OP-1272</x:v>
      </x:c>
      <x:c r="C991" s="17" t="str">
        <x:v>OS-6250</x:v>
      </x:c>
      <x:c r="D991" s="17" t="str">
        <x:v>2026-06-15 07:10:00</x:v>
      </x:c>
      <x:c r="E991" s="17" t="str">
        <x:v>Johnson&amp;Johnson</x:v>
      </x:c>
      <x:c r="F991" s="17" t="str">
        <x:v>Maura Corcoran - indeterminado;
Luis Luna - indeterminado</x:v>
      </x:c>
      <x:c r="G991" s="17" t="str">
        <x:v>Concluído</x:v>
      </x:c>
      <x:c r="H991" s="17" t="str">
        <x:v>Pago</x:v>
      </x:c>
      <x:c r="I991" s="21" t="n">
        <x:v>1253.94</x:v>
      </x:c>
    </x:row>
    <x:row r="992" ht="15" hidden="0" customHeight="1">
      <x:c r="A992" s="17" t="n">
        <x:v>992</x:v>
      </x:c>
      <x:c r="B992" s="17" t="str">
        <x:v>OP-1268</x:v>
      </x:c>
      <x:c r="C992" s="17" t="str">
        <x:v>OS-6261</x:v>
      </x:c>
      <x:c r="D992" s="17" t="str">
        <x:v>2026-06-15 07:10:00</x:v>
      </x:c>
      <x:c r="E992" s="17" t="str">
        <x:v>Kenvue</x:v>
      </x:c>
      <x:c r="F992" s="17" t="str">
        <x:v>Sr. Arunava Banerjee - +1 (609) 553-5715</x:v>
      </x:c>
      <x:c r="G992" s="17" t="str">
        <x:v>Concluído</x:v>
      </x:c>
      <x:c r="H992" s="17" t="str">
        <x:v>Pago</x:v>
      </x:c>
      <x:c r="I992" s="21" t="n">
        <x:v>160.51</x:v>
      </x:c>
    </x:row>
    <x:row r="993" ht="15" hidden="0" customHeight="1">
      <x:c r="A993" s="17" t="n">
        <x:v>993</x:v>
      </x:c>
      <x:c r="B993" s="17" t="str">
        <x:v>OP-1275</x:v>
      </x:c>
      <x:c r="C993" s="17" t="str">
        <x:v>OS-5953</x:v>
      </x:c>
      <x:c r="D993" s="17" t="str">
        <x:v>2026-06-15 08:00:00</x:v>
      </x:c>
      <x:c r="E993" s="17" t="str">
        <x:v>Kenvue</x:v>
      </x:c>
      <x:c r="F993" s="17" t="str">
        <x:v>Dashreen Kaur - +65 812 1144 6</x:v>
      </x:c>
      <x:c r="G993" s="17" t="str">
        <x:v>Concluído</x:v>
      </x:c>
      <x:c r="H993" s="17" t="str">
        <x:v>Pago</x:v>
      </x:c>
      <x:c r="I993" s="21" t="n">
        <x:v>160.51</x:v>
      </x:c>
    </x:row>
    <x:row r="994" ht="15" hidden="0" customHeight="1">
      <x:c r="A994" s="17" t="n">
        <x:v>994</x:v>
      </x:c>
      <x:c r="B994" s="17" t="str">
        <x:v>OP-1255</x:v>
      </x:c>
      <x:c r="C994" s="17" t="str">
        <x:v>OS-6236</x:v>
      </x:c>
      <x:c r="D994" s="17" t="str">
        <x:v>2026-06-15 08:00:00</x:v>
      </x:c>
      <x:c r="E994" s="17" t="str">
        <x:v>Particular</x:v>
      </x:c>
      <x:c r="F994" s="17" t="str">
        <x:v>Sra. Angela Oliveira - +55 (11) 98134-8101</x:v>
      </x:c>
      <x:c r="G994" s="17" t="str">
        <x:v>Concluído</x:v>
      </x:c>
      <x:c r="H994" s="17" t="str">
        <x:v>Pago</x:v>
      </x:c>
      <x:c r="I994" s="21" t="n">
        <x:v>987.26</x:v>
      </x:c>
    </x:row>
    <x:row r="995" ht="15" hidden="0" customHeight="1">
      <x:c r="A995" s="17" t="n">
        <x:v>995</x:v>
      </x:c>
      <x:c r="B995" s="17" t="str">
        <x:v>OP-1289</x:v>
      </x:c>
      <x:c r="C995" s="17" t="str">
        <x:v>OS-5814</x:v>
      </x:c>
      <x:c r="D995" s="17" t="str">
        <x:v>2026-06-15 08:30:00</x:v>
      </x:c>
      <x:c r="E995" s="17" t="str">
        <x:v>Johnson&amp;Johnson</x:v>
      </x:c>
      <x:c r="F995" s="17" t="str">
        <x:v>Alberto Cardoso - +55 (12) 99629-4747</x:v>
      </x:c>
      <x:c r="G995" s="17" t="str">
        <x:v>Concluído</x:v>
      </x:c>
      <x:c r="H995" s="17" t="str">
        <x:v>Pago</x:v>
      </x:c>
      <x:c r="I995" s="21" t="n">
        <x:v>139.58</x:v>
      </x:c>
    </x:row>
    <x:row r="996" ht="15" hidden="0" customHeight="1">
      <x:c r="A996" s="17" t="n">
        <x:v>996</x:v>
      </x:c>
      <x:c r="B996" s="17" t="str">
        <x:v>OP-1267</x:v>
      </x:c>
      <x:c r="C996" s="17" t="str">
        <x:v>OS-6046</x:v>
      </x:c>
      <x:c r="D996" s="17" t="str">
        <x:v>2026-06-15 09:40:00</x:v>
      </x:c>
      <x:c r="E996" s="17" t="str">
        <x:v>Johnson&amp;Johnson</x:v>
      </x:c>
      <x:c r="F996" s="17" t="str">
        <x:v>Max Baumgartner - (26) 0418-3503</x:v>
      </x:c>
      <x:c r="G996" s="17" t="str">
        <x:v>Concluído</x:v>
      </x:c>
      <x:c r="H996" s="17" t="str">
        <x:v>Pago</x:v>
      </x:c>
      <x:c r="I996" s="21" t="n">
        <x:v>807.14</x:v>
      </x:c>
    </x:row>
    <x:row r="997" ht="15" hidden="0" customHeight="1">
      <x:c r="A997" s="17" t="n">
        <x:v>997</x:v>
      </x:c>
      <x:c r="B997" s="17" t="str">
        <x:v>OP-1250</x:v>
      </x:c>
      <x:c r="C997" s="17" t="str">
        <x:v>OS-5481</x:v>
      </x:c>
      <x:c r="D997" s="17" t="str">
        <x:v>2026-06-15 09:40:00</x:v>
      </x:c>
      <x:c r="E997" s="17" t="str">
        <x:v>Boeing</x:v>
      </x:c>
      <x:c r="F997" s="17" t="str">
        <x:v>Marcelo de Melo Faria - 12 99763-8354</x:v>
      </x:c>
      <x:c r="G997" s="17" t="str">
        <x:v>Concluído</x:v>
      </x:c>
      <x:c r="H997" s="17" t="str">
        <x:v>Pago</x:v>
      </x:c>
      <x:c r="I997" s="21" t="n">
        <x:v>463.05</x:v>
      </x:c>
    </x:row>
    <x:row r="998" ht="15" hidden="0" customHeight="1">
      <x:c r="A998" s="17" t="n">
        <x:v>998</x:v>
      </x:c>
      <x:c r="B998" s="17" t="str">
        <x:v>OP-1264</x:v>
      </x:c>
      <x:c r="C998" s="17" t="str">
        <x:v>OS-6234</x:v>
      </x:c>
      <x:c r="D998" s="17" t="str">
        <x:v>2026-06-15 10:30:00</x:v>
      </x:c>
      <x:c r="E998" s="17" t="str">
        <x:v>Héroux-Devtek Inc.</x:v>
      </x:c>
      <x:c r="F998" s="17" t="str">
        <x:v>Étienne Lord - +1 (438) 342-4023</x:v>
      </x:c>
      <x:c r="G998" s="17" t="str">
        <x:v>Concluído</x:v>
      </x:c>
      <x:c r="H998" s="17" t="str">
        <x:v>Pagamento Pendente</x:v>
      </x:c>
      <x:c r="I998" s="21" t="n">
        <x:v>2022.68</x:v>
      </x:c>
    </x:row>
    <x:row r="999" ht="24" hidden="0" customHeight="1">
      <x:c r="A999" s="17" t="n">
        <x:v>999</x:v>
      </x:c>
      <x:c r="B999" s="17" t="str">
        <x:v>OP-1272</x:v>
      </x:c>
      <x:c r="C999" s="17" t="str">
        <x:v>OS-6253</x:v>
      </x:c>
      <x:c r="D999" s="17" t="str">
        <x:v>2026-06-15 11:30:00</x:v>
      </x:c>
      <x:c r="E999" s="17" t="str">
        <x:v>Johnson&amp;Johnson</x:v>
      </x:c>
      <x:c r="F999" s="17" t="str">
        <x:v>Kennon Yori - indeterminado;
Maura Corcoran - indeterminado</x:v>
      </x:c>
      <x:c r="G999" s="17" t="str">
        <x:v>Concluído</x:v>
      </x:c>
      <x:c r="H999" s="17" t="str">
        <x:v>Pago</x:v>
      </x:c>
      <x:c r="I999" s="21" t="n">
        <x:v>340.11</x:v>
      </x:c>
    </x:row>
    <x:row r="1000" ht="24" hidden="0" customHeight="1">
      <x:c r="A1000" s="17" t="n">
        <x:v>1000</x:v>
      </x:c>
      <x:c r="B1000" s="17" t="str">
        <x:v>OP-1272</x:v>
      </x:c>
      <x:c r="C1000" s="17" t="str">
        <x:v>OS-6254</x:v>
      </x:c>
      <x:c r="D1000" s="17" t="str">
        <x:v>2026-06-15 11:30:00</x:v>
      </x:c>
      <x:c r="E1000" s="17" t="str">
        <x:v>Johnson&amp;Johnson</x:v>
      </x:c>
      <x:c r="F1000" s="17" t="str">
        <x:v>Luis Luna - indeterminado;
Maura Corcoran - indeterminado</x:v>
      </x:c>
      <x:c r="G1000" s="17" t="str">
        <x:v>Concluído</x:v>
      </x:c>
      <x:c r="H1000" s="17" t="str">
        <x:v>Pago</x:v>
      </x:c>
      <x:c r="I1000" s="21" t="n">
        <x:v>340.11</x:v>
      </x:c>
    </x:row>
    <x:row r="1001" ht="15" hidden="0" customHeight="1">
      <x:c r="A1001" s="17" t="n">
        <x:v>1001</x:v>
      </x:c>
      <x:c r="B1001" s="17" t="str">
        <x:v>OP-1260</x:v>
      </x:c>
      <x:c r="C1001" s="17" t="str">
        <x:v>OS-6264</x:v>
      </x:c>
      <x:c r="D1001" s="17" t="str">
        <x:v>2026-06-15 13:30:00</x:v>
      </x:c>
      <x:c r="E1001" s="17" t="str">
        <x:v>Latasa Recicla BR</x:v>
      </x:c>
      <x:c r="F1001" s="17" t="str">
        <x:v>Tiago Henrique Santos Xavier - (12) 99142-8629</x:v>
      </x:c>
      <x:c r="G1001" s="17" t="str">
        <x:v>Concluído</x:v>
      </x:c>
      <x:c r="H1001" s="17" t="str">
        <x:v>Composição Realizada</x:v>
      </x:c>
      <x:c r="I1001" s="21" t="n">
        <x:v>315</x:v>
      </x:c>
    </x:row>
    <x:row r="1002" ht="15" hidden="0" customHeight="1">
      <x:c r="A1002" s="17" t="n">
        <x:v>1002</x:v>
      </x:c>
      <x:c r="B1002" s="17" t="str">
        <x:v>OP-1289</x:v>
      </x:c>
      <x:c r="C1002" s="17" t="str">
        <x:v>OS-5858</x:v>
      </x:c>
      <x:c r="D1002" s="17" t="str">
        <x:v>2026-06-15 15:30:00</x:v>
      </x:c>
      <x:c r="E1002" s="17" t="str">
        <x:v>Johnson&amp;Johnson</x:v>
      </x:c>
      <x:c r="F1002" s="17" t="str">
        <x:v>Alberto Cardoso - +55 (12) 99629-4747</x:v>
      </x:c>
      <x:c r="G1002" s="17" t="str">
        <x:v>Concluído</x:v>
      </x:c>
      <x:c r="H1002" s="17" t="str">
        <x:v>Pago</x:v>
      </x:c>
      <x:c r="I1002" s="21" t="n">
        <x:v>139.58</x:v>
      </x:c>
    </x:row>
    <x:row r="1003" ht="15" hidden="0" customHeight="1">
      <x:c r="A1003" s="17" t="n">
        <x:v>1003</x:v>
      </x:c>
      <x:c r="B1003" s="17" t="str">
        <x:v>OP-1300</x:v>
      </x:c>
      <x:c r="C1003" s="17" t="str">
        <x:v>OS-6263</x:v>
      </x:c>
      <x:c r="D1003" s="17" t="str">
        <x:v>2026-06-15 16:20:00</x:v>
      </x:c>
      <x:c r="E1003" s="17" t="str">
        <x:v>Boeing</x:v>
      </x:c>
      <x:c r="F1003" s="17" t="str">
        <x:v>Vijay Laxmi Maurya - +91 99008 50517</x:v>
      </x:c>
      <x:c r="G1003" s="17" t="str">
        <x:v>Concluído</x:v>
      </x:c>
      <x:c r="H1003" s="17" t="str">
        <x:v>Pago</x:v>
      </x:c>
      <x:c r="I1003" s="21" t="n">
        <x:v>481.2</x:v>
      </x:c>
    </x:row>
    <x:row r="1004" ht="36" hidden="0" customHeight="1">
      <x:c r="A1004" s="17" t="n">
        <x:v>1004</x:v>
      </x:c>
      <x:c r="B1004" s="17" t="str">
        <x:v>OP-1267</x:v>
      </x:c>
      <x:c r="C1004" s="17" t="str">
        <x:v>OS-6058</x:v>
      </x:c>
      <x:c r="D1004" s="17" t="str">
        <x:v>2026-06-15 17:00:00</x:v>
      </x:c>
      <x:c r="E1004" s="17" t="str">
        <x:v>Johnson&amp;Johnson</x:v>
      </x:c>
      <x:c r="F1004" s="17" t="str">
        <x:v>Albert Liu - +1 (310) 462-6175;
Taifa Nyiendo - +1 (908) 933-8369-6;
Max Baumgartner - (26) 0418-3503</x:v>
      </x:c>
      <x:c r="G1004" s="17" t="str">
        <x:v>Concluído</x:v>
      </x:c>
      <x:c r="H1004" s="17" t="str">
        <x:v>Pago</x:v>
      </x:c>
      <x:c r="I1004" s="21" t="n">
        <x:v>160.51</x:v>
      </x:c>
    </x:row>
    <x:row r="1005" ht="15" hidden="0" customHeight="1">
      <x:c r="A1005" s="17" t="n">
        <x:v>1005</x:v>
      </x:c>
      <x:c r="B1005" s="17" t="str">
        <x:v>OP-1275</x:v>
      </x:c>
      <x:c r="C1005" s="17" t="str">
        <x:v>OS-5962</x:v>
      </x:c>
      <x:c r="D1005" s="17" t="str">
        <x:v>2026-06-15 17:00:00</x:v>
      </x:c>
      <x:c r="E1005" s="17" t="str">
        <x:v>Kenvue</x:v>
      </x:c>
      <x:c r="F1005" s="17" t="str">
        <x:v>Dashreen Kaur - +65 812 1144 6</x:v>
      </x:c>
      <x:c r="G1005" s="17" t="str">
        <x:v>Concluído</x:v>
      </x:c>
      <x:c r="H1005" s="17" t="str">
        <x:v>Pago</x:v>
      </x:c>
      <x:c r="I1005" s="21" t="n">
        <x:v>160.51</x:v>
      </x:c>
    </x:row>
    <x:row r="1006" ht="24" hidden="0" customHeight="1">
      <x:c r="A1006" s="17" t="n">
        <x:v>1006</x:v>
      </x:c>
      <x:c r="B1006" s="17" t="str">
        <x:v>OP-1272</x:v>
      </x:c>
      <x:c r="C1006" s="17" t="str">
        <x:v>OS-6255</x:v>
      </x:c>
      <x:c r="D1006" s="17" t="str">
        <x:v>2026-06-15 17:30:00</x:v>
      </x:c>
      <x:c r="E1006" s="17" t="str">
        <x:v>Johnson&amp;Johnson</x:v>
      </x:c>
      <x:c r="F1006" s="17" t="str">
        <x:v>Kennon Yori - indeterminado;
Maura Corcoran - indeterminado</x:v>
      </x:c>
      <x:c r="G1006" s="17" t="str">
        <x:v>Concluído</x:v>
      </x:c>
      <x:c r="H1006" s="17" t="str">
        <x:v>Pago</x:v>
      </x:c>
      <x:c r="I1006" s="21" t="n">
        <x:v>1170.26</x:v>
      </x:c>
    </x:row>
    <x:row r="1007" ht="15" hidden="0" customHeight="1">
      <x:c r="A1007" s="17" t="n">
        <x:v>1007</x:v>
      </x:c>
      <x:c r="B1007" s="17" t="str">
        <x:v>OP-1272</x:v>
      </x:c>
      <x:c r="C1007" s="17" t="str">
        <x:v>OS-6256</x:v>
      </x:c>
      <x:c r="D1007" s="17" t="str">
        <x:v>2026-06-15 17:30:00</x:v>
      </x:c>
      <x:c r="E1007" s="17" t="str">
        <x:v>Johnson&amp;Johnson</x:v>
      </x:c>
      <x:c r="F1007" s="17" t="str">
        <x:v>Luis Luna - indeterminado</x:v>
      </x:c>
      <x:c r="G1007" s="17" t="str">
        <x:v>Concluído</x:v>
      </x:c>
      <x:c r="H1007" s="17" t="str">
        <x:v>Pago</x:v>
      </x:c>
      <x:c r="I1007" s="21" t="n">
        <x:v>340.11</x:v>
      </x:c>
    </x:row>
    <x:row r="1008" ht="15" hidden="0" customHeight="1">
      <x:c r="A1008" s="17" t="n">
        <x:v>1008</x:v>
      </x:c>
      <x:c r="B1008" s="17" t="str">
        <x:v>OP-1268</x:v>
      </x:c>
      <x:c r="C1008" s="17" t="str">
        <x:v>OS-6262</x:v>
      </x:c>
      <x:c r="D1008" s="17" t="str">
        <x:v>2026-06-15 17:30:00</x:v>
      </x:c>
      <x:c r="E1008" s="17" t="str">
        <x:v>Kenvue</x:v>
      </x:c>
      <x:c r="F1008" s="17" t="str">
        <x:v>Sr. Arunava Banerjee - +1 (609) 553-5715</x:v>
      </x:c>
      <x:c r="G1008" s="17" t="str">
        <x:v>Concluído</x:v>
      </x:c>
      <x:c r="H1008" s="17" t="str">
        <x:v>Pago</x:v>
      </x:c>
      <x:c r="I1008" s="21" t="n">
        <x:v>160.51</x:v>
      </x:c>
    </x:row>
    <x:row r="1009" ht="15" hidden="0" customHeight="1">
      <x:c r="A1009" s="17" t="n">
        <x:v>1009</x:v>
      </x:c>
      <x:c r="B1009" s="17" t="str">
        <x:v>OP-1277</x:v>
      </x:c>
      <x:c r="C1009" s="17" t="str">
        <x:v>OS-5726</x:v>
      </x:c>
      <x:c r="D1009" s="17" t="str">
        <x:v>2026-06-15 18:00:00</x:v>
      </x:c>
      <x:c r="E1009" s="17" t="str">
        <x:v>Johnson&amp;Johnson</x:v>
      </x:c>
      <x:c r="F1009" s="17" t="str">
        <x:v>Mateus Montemor - +55 (12) 99614-9949</x:v>
      </x:c>
      <x:c r="G1009" s="17" t="str">
        <x:v>Concluído</x:v>
      </x:c>
      <x:c r="H1009" s="17" t="str">
        <x:v>Pago</x:v>
      </x:c>
      <x:c r="I1009" s="21" t="n">
        <x:v>491.86</x:v>
      </x:c>
    </x:row>
    <x:row r="1010" ht="15" hidden="0" customHeight="1">
      <x:c r="A1010" s="17" t="n">
        <x:v>1010</x:v>
      </x:c>
      <x:c r="B1010" s="17" t="str">
        <x:v>OP-1272</x:v>
      </x:c>
      <x:c r="C1010" s="17" t="str">
        <x:v>OS-6252</x:v>
      </x:c>
      <x:c r="D1010" s="17" t="str">
        <x:v>2026-06-15 20:00:00</x:v>
      </x:c>
      <x:c r="E1010" s="17" t="str">
        <x:v>Johnson&amp;Johnson</x:v>
      </x:c>
      <x:c r="F1010" s="17" t="str">
        <x:v>Matthew Kuwamoto - indeterminado</x:v>
      </x:c>
      <x:c r="G1010" s="17" t="str">
        <x:v>Concluído</x:v>
      </x:c>
      <x:c r="H1010" s="17" t="str">
        <x:v>Pago</x:v>
      </x:c>
      <x:c r="I1010" s="21" t="n">
        <x:v>1239.93</x:v>
      </x:c>
    </x:row>
    <x:row r="1011" ht="15" hidden="0" customHeight="1">
      <x:c r="A1011" s="17" t="n">
        <x:v>1011</x:v>
      </x:c>
      <x:c r="B1011" s="17" t="str">
        <x:v>OP-1273</x:v>
      </x:c>
      <x:c r="C1011" s="17" t="str">
        <x:v>OS-6217</x:v>
      </x:c>
      <x:c r="D1011" s="17" t="str">
        <x:v>2026-06-16 05:00:00</x:v>
      </x:c>
      <x:c r="E1011" s="17" t="str">
        <x:v>Johnson&amp;Johnson</x:v>
      </x:c>
      <x:c r="F1011" s="17" t="str">
        <x:v>Viviane Lemes Castro - +55 (12) 98809-5016 12</x:v>
      </x:c>
      <x:c r="G1011" s="17" t="str">
        <x:v>Concluído</x:v>
      </x:c>
      <x:c r="H1011" s="17" t="str">
        <x:v>Pago</x:v>
      </x:c>
      <x:c r="I1011" s="21" t="n">
        <x:v>962.65</x:v>
      </x:c>
    </x:row>
    <x:row r="1012" ht="15" hidden="0" customHeight="1">
      <x:c r="A1012" s="17" t="n">
        <x:v>1012</x:v>
      </x:c>
      <x:c r="B1012" s="17" t="str">
        <x:v>OP-1275</x:v>
      </x:c>
      <x:c r="C1012" s="17" t="str">
        <x:v>OS-5954</x:v>
      </x:c>
      <x:c r="D1012" s="17" t="str">
        <x:v>2026-06-16 05:10:00</x:v>
      </x:c>
      <x:c r="E1012" s="17" t="str">
        <x:v>Kenvue</x:v>
      </x:c>
      <x:c r="F1012" s="17" t="str">
        <x:v>Dashreen Kaur - +65 812 1144 6</x:v>
      </x:c>
      <x:c r="G1012" s="17" t="str">
        <x:v>Concluído</x:v>
      </x:c>
      <x:c r="H1012" s="17" t="str">
        <x:v>Pago</x:v>
      </x:c>
      <x:c r="I1012" s="21" t="n">
        <x:v>160.51</x:v>
      </x:c>
    </x:row>
    <x:row r="1013" ht="15" hidden="0" customHeight="1">
      <x:c r="A1013" s="17" t="n">
        <x:v>1013</x:v>
      </x:c>
      <x:c r="B1013" s="17" t="str">
        <x:v>OP-1262</x:v>
      </x:c>
      <x:c r="C1013" s="17" t="str">
        <x:v>OS-6188</x:v>
      </x:c>
      <x:c r="D1013" s="17" t="str">
        <x:v>2026-06-16 05:30:00</x:v>
      </x:c>
      <x:c r="E1013" s="17" t="str">
        <x:v>Kenvue</x:v>
      </x:c>
      <x:c r="F1013" s="17" t="str">
        <x:v>Larissa Chan - +55 (12) 98195-1555</x:v>
      </x:c>
      <x:c r="G1013" s="17" t="str">
        <x:v>Concluído</x:v>
      </x:c>
      <x:c r="H1013" s="17" t="str">
        <x:v>Pago</x:v>
      </x:c>
      <x:c r="I1013" s="21" t="n">
        <x:v>2651.03</x:v>
      </x:c>
    </x:row>
    <x:row r="1014" ht="15" hidden="0" customHeight="1">
      <x:c r="A1014" s="17" t="n">
        <x:v>1014</x:v>
      </x:c>
      <x:c r="B1014" s="17" t="str">
        <x:v>OP-1270</x:v>
      </x:c>
      <x:c r="C1014" s="17" t="str">
        <x:v>OS-6168</x:v>
      </x:c>
      <x:c r="D1014" s="17" t="str">
        <x:v>2026-06-16 06:10:00</x:v>
      </x:c>
      <x:c r="E1014" s="17" t="str">
        <x:v>Johnson&amp;Johnson</x:v>
      </x:c>
      <x:c r="F1014" s="17" t="str">
        <x:v>Jennifer Oliveira - (39) 3255-43</x:v>
      </x:c>
      <x:c r="G1014" s="17" t="str">
        <x:v>Concluído</x:v>
      </x:c>
      <x:c r="H1014" s="17" t="str">
        <x:v>Pago</x:v>
      </x:c>
      <x:c r="I1014" s="21" t="n">
        <x:v>1158.2</x:v>
      </x:c>
    </x:row>
    <x:row r="1015" ht="15" hidden="0" customHeight="1">
      <x:c r="A1015" s="17" t="n">
        <x:v>1015</x:v>
      </x:c>
      <x:c r="B1015" s="17" t="str">
        <x:v>OP-1274</x:v>
      </x:c>
      <x:c r="C1015" s="17" t="str">
        <x:v>OS-6304</x:v>
      </x:c>
      <x:c r="D1015" s="17" t="str">
        <x:v>2026-06-16 07:00:00</x:v>
      </x:c>
      <x:c r="E1015" s="17" t="str">
        <x:v>Boeing</x:v>
      </x:c>
      <x:c r="F1015" s="17" t="str">
        <x:v>Alvaro Reis - +1 (298) 138-9887-5512</x:v>
      </x:c>
      <x:c r="G1015" s="17" t="str">
        <x:v>Concluído</x:v>
      </x:c>
      <x:c r="H1015" s="17" t="str">
        <x:v>Pago</x:v>
      </x:c>
      <x:c r="I1015" s="21" t="n">
        <x:v>779.15</x:v>
      </x:c>
    </x:row>
    <x:row r="1016" ht="15" hidden="0" customHeight="1">
      <x:c r="A1016" s="17" t="n">
        <x:v>1016</x:v>
      </x:c>
      <x:c r="B1016" s="17" t="str">
        <x:v>OP-1272</x:v>
      </x:c>
      <x:c r="C1016" s="17" t="str">
        <x:v>OS-6308</x:v>
      </x:c>
      <x:c r="D1016" s="17" t="str">
        <x:v>2026-06-16 07:10:00</x:v>
      </x:c>
      <x:c r="E1016" s="17" t="str">
        <x:v>Johnson&amp;Johnson</x:v>
      </x:c>
      <x:c r="F1016" s="17" t="str">
        <x:v>Daniel Lamont - indeterminado</x:v>
      </x:c>
      <x:c r="G1016" s="17" t="str">
        <x:v>Concluído</x:v>
      </x:c>
      <x:c r="H1016" s="17" t="str">
        <x:v>Pago</x:v>
      </x:c>
      <x:c r="I1016" s="21" t="n">
        <x:v>1239.93</x:v>
      </x:c>
    </x:row>
    <x:row r="1017" ht="36" hidden="0" customHeight="1">
      <x:c r="A1017" s="17" t="n">
        <x:v>1017</x:v>
      </x:c>
      <x:c r="B1017" s="17" t="str">
        <x:v>OP-1267</x:v>
      </x:c>
      <x:c r="C1017" s="17" t="str">
        <x:v>OS-6048</x:v>
      </x:c>
      <x:c r="D1017" s="17" t="str">
        <x:v>2026-06-16 07:30:00</x:v>
      </x:c>
      <x:c r="E1017" s="17" t="str">
        <x:v>Johnson&amp;Johnson</x:v>
      </x:c>
      <x:c r="F1017" s="17" t="str">
        <x:v>Albert Liu - +1 (310) 462-6175;
Taifa Nyiendo - +1 (908) 933-8369-6;
Max Baumgartner - (26) 0418-3503</x:v>
      </x:c>
      <x:c r="G1017" s="17" t="str">
        <x:v>Concluído</x:v>
      </x:c>
      <x:c r="H1017" s="17" t="str">
        <x:v>Pago</x:v>
      </x:c>
      <x:c r="I1017" s="21" t="n">
        <x:v>174.51</x:v>
      </x:c>
    </x:row>
    <x:row r="1018" ht="15" hidden="0" customHeight="1">
      <x:c r="A1018" s="17" t="n">
        <x:v>1018</x:v>
      </x:c>
      <x:c r="B1018" s="17" t="str">
        <x:v>OP-1268</x:v>
      </x:c>
      <x:c r="C1018" s="17" t="str">
        <x:v>OS-6331</x:v>
      </x:c>
      <x:c r="D1018" s="17" t="str">
        <x:v>2026-06-16 07:40:00</x:v>
      </x:c>
      <x:c r="E1018" s="17" t="str">
        <x:v>Kenvue</x:v>
      </x:c>
      <x:c r="F1018" s="17" t="str">
        <x:v>Sr. Arunava Banerjee - +1 (609) 553-5715</x:v>
      </x:c>
      <x:c r="G1018" s="17" t="str">
        <x:v>Concluído</x:v>
      </x:c>
      <x:c r="H1018" s="17" t="str">
        <x:v>Pago</x:v>
      </x:c>
      <x:c r="I1018" s="21" t="n">
        <x:v>174.51</x:v>
      </x:c>
    </x:row>
    <x:row r="1019" ht="24" hidden="0" customHeight="1">
      <x:c r="A1019" s="17" t="n">
        <x:v>1019</x:v>
      </x:c>
      <x:c r="B1019" s="17" t="str">
        <x:v>OP-1272</x:v>
      </x:c>
      <x:c r="C1019" s="17" t="str">
        <x:v>OS-6276</x:v>
      </x:c>
      <x:c r="D1019" s="17" t="str">
        <x:v>2026-06-16 08:00:00</x:v>
      </x:c>
      <x:c r="E1019" s="17" t="str">
        <x:v>Johnson&amp;Johnson</x:v>
      </x:c>
      <x:c r="F1019" s="17" t="str">
        <x:v>Kennon Yori - indeterminado;
Maura Corcoran - indeterminado</x:v>
      </x:c>
      <x:c r="G1019" s="17" t="str">
        <x:v>Concluído</x:v>
      </x:c>
      <x:c r="H1019" s="17" t="str">
        <x:v>Pago</x:v>
      </x:c>
      <x:c r="I1019" s="21" t="n">
        <x:v>354.11</x:v>
      </x:c>
    </x:row>
    <x:row r="1020" ht="36" hidden="0" customHeight="1">
      <x:c r="A1020" s="17" t="n">
        <x:v>1020</x:v>
      </x:c>
      <x:c r="B1020" s="17" t="str">
        <x:v>OP-1272</x:v>
      </x:c>
      <x:c r="C1020" s="17" t="str">
        <x:v>OS-6277</x:v>
      </x:c>
      <x:c r="D1020" s="17" t="str">
        <x:v>2026-06-16 08:00:00</x:v>
      </x:c>
      <x:c r="E1020" s="17" t="str">
        <x:v>Johnson&amp;Johnson</x:v>
      </x:c>
      <x:c r="F1020" s="17" t="str">
        <x:v>Luis Luna - indeterminado;
Matthew Kuwamoto - indeterminado;
Daniel Lamont - indeterminado</x:v>
      </x:c>
      <x:c r="G1020" s="17" t="str">
        <x:v>Concluído</x:v>
      </x:c>
      <x:c r="H1020" s="17" t="str">
        <x:v>Pago</x:v>
      </x:c>
      <x:c r="I1020" s="21" t="n">
        <x:v>354.11</x:v>
      </x:c>
    </x:row>
    <x:row r="1021" ht="15" hidden="0" customHeight="1">
      <x:c r="A1021" s="17" t="n">
        <x:v>1021</x:v>
      </x:c>
      <x:c r="B1021" s="17" t="str">
        <x:v>OP-1289</x:v>
      </x:c>
      <x:c r="C1021" s="17" t="str">
        <x:v>OS-5815</x:v>
      </x:c>
      <x:c r="D1021" s="17" t="str">
        <x:v>2026-06-16 08:30:00</x:v>
      </x:c>
      <x:c r="E1021" s="17" t="str">
        <x:v>Johnson&amp;Johnson</x:v>
      </x:c>
      <x:c r="F1021" s="17" t="str">
        <x:v>Alberto Cardoso - +55 (12) 99629-4747</x:v>
      </x:c>
      <x:c r="G1021" s="17" t="str">
        <x:v>Concluído</x:v>
      </x:c>
      <x:c r="H1021" s="17" t="str">
        <x:v>Pago</x:v>
      </x:c>
      <x:c r="I1021" s="21" t="n">
        <x:v>139.58</x:v>
      </x:c>
    </x:row>
    <x:row r="1022" ht="15" hidden="0" customHeight="1">
      <x:c r="A1022" s="17" t="n">
        <x:v>1022</x:v>
      </x:c>
      <x:c r="B1022" s="17" t="str">
        <x:v>OP-1272</x:v>
      </x:c>
      <x:c r="C1022" s="17" t="str">
        <x:v>OS-6275</x:v>
      </x:c>
      <x:c r="D1022" s="17" t="str">
        <x:v>2026-06-16 09:00:00</x:v>
      </x:c>
      <x:c r="E1022" s="17" t="str">
        <x:v>Johnson&amp;Johnson</x:v>
      </x:c>
      <x:c r="F1022" s="17" t="str">
        <x:v>Bernadete Nogueira - 12981227532</x:v>
      </x:c>
      <x:c r="G1022" s="17" t="str">
        <x:v>Concluído</x:v>
      </x:c>
      <x:c r="H1022" s="17" t="str">
        <x:v>Pago</x:v>
      </x:c>
      <x:c r="I1022" s="21" t="n">
        <x:v>1080</x:v>
      </x:c>
    </x:row>
    <x:row r="1023" ht="15" hidden="0" customHeight="1">
      <x:c r="A1023" s="17" t="n">
        <x:v>1023</x:v>
      </x:c>
      <x:c r="B1023" s="17" t="str">
        <x:v>OP-1272</x:v>
      </x:c>
      <x:c r="C1023" s="17" t="str">
        <x:v>OS-6282</x:v>
      </x:c>
      <x:c r="D1023" s="17" t="str">
        <x:v>2026-06-16 09:00:00</x:v>
      </x:c>
      <x:c r="E1023" s="17" t="str">
        <x:v>Johnson&amp;Johnson</x:v>
      </x:c>
      <x:c r="F1023" s="17" t="str">
        <x:v>Bernadete Nogueira - 12981227532</x:v>
      </x:c>
      <x:c r="G1023" s="17" t="str">
        <x:v>Concluído</x:v>
      </x:c>
      <x:c r="H1023" s="17" t="str">
        <x:v>Pago</x:v>
      </x:c>
      <x:c r="I1023" s="21" t="n">
        <x:v>707.64</x:v>
      </x:c>
    </x:row>
    <x:row r="1024" ht="15" hidden="0" customHeight="1">
      <x:c r="A1024" s="17" t="n">
        <x:v>1024</x:v>
      </x:c>
      <x:c r="B1024" s="17" t="str">
        <x:v>OP-1289</x:v>
      </x:c>
      <x:c r="C1024" s="17" t="str">
        <x:v>OS-5859</x:v>
      </x:c>
      <x:c r="D1024" s="17" t="str">
        <x:v>2026-06-16 15:30:00</x:v>
      </x:c>
      <x:c r="E1024" s="17" t="str">
        <x:v>Johnson&amp;Johnson</x:v>
      </x:c>
      <x:c r="F1024" s="17" t="str">
        <x:v>Alberto Cardoso - +55 (12) 99629-4747</x:v>
      </x:c>
      <x:c r="G1024" s="17" t="str">
        <x:v>Concluído</x:v>
      </x:c>
      <x:c r="H1024" s="17" t="str">
        <x:v>Pago</x:v>
      </x:c>
      <x:c r="I1024" s="21" t="n">
        <x:v>139.58</x:v>
      </x:c>
    </x:row>
    <x:row r="1025" ht="36" hidden="0" customHeight="1">
      <x:c r="A1025" s="17" t="n">
        <x:v>1025</x:v>
      </x:c>
      <x:c r="B1025" s="17" t="str">
        <x:v>OP-1267</x:v>
      </x:c>
      <x:c r="C1025" s="17" t="str">
        <x:v>OS-6059</x:v>
      </x:c>
      <x:c r="D1025" s="17" t="str">
        <x:v>2026-06-16 17:00:00</x:v>
      </x:c>
      <x:c r="E1025" s="17" t="str">
        <x:v>Johnson&amp;Johnson</x:v>
      </x:c>
      <x:c r="F1025" s="17" t="str">
        <x:v>Albert Liu - +1 (310) 462-6175;
Taifa Nyiendo - +1 (908) 933-8369-6;
Max Baumgartner - (26) 0418-3503</x:v>
      </x:c>
      <x:c r="G1025" s="17" t="str">
        <x:v>Concluído</x:v>
      </x:c>
      <x:c r="H1025" s="17" t="str">
        <x:v>Pago</x:v>
      </x:c>
      <x:c r="I1025" s="21" t="n">
        <x:v>160.51</x:v>
      </x:c>
    </x:row>
    <x:row r="1026" ht="15" hidden="0" customHeight="1">
      <x:c r="A1026" s="17" t="n">
        <x:v>1026</x:v>
      </x:c>
      <x:c r="B1026" s="17" t="str">
        <x:v>OP-1275</x:v>
      </x:c>
      <x:c r="C1026" s="17" t="str">
        <x:v>OS-5963</x:v>
      </x:c>
      <x:c r="D1026" s="17" t="str">
        <x:v>2026-06-16 17:00:00</x:v>
      </x:c>
      <x:c r="E1026" s="17" t="str">
        <x:v>Kenvue</x:v>
      </x:c>
      <x:c r="F1026" s="17" t="str">
        <x:v>Dashreen Kaur - +65 812 1144 6</x:v>
      </x:c>
      <x:c r="G1026" s="17" t="str">
        <x:v>Concluído</x:v>
      </x:c>
      <x:c r="H1026" s="17" t="str">
        <x:v>Pago</x:v>
      </x:c>
      <x:c r="I1026" s="21" t="n">
        <x:v>160.51</x:v>
      </x:c>
    </x:row>
    <x:row r="1027" ht="24" hidden="0" customHeight="1">
      <x:c r="A1027" s="17" t="n">
        <x:v>1027</x:v>
      </x:c>
      <x:c r="B1027" s="17" t="str">
        <x:v>OP-1272</x:v>
      </x:c>
      <x:c r="C1027" s="17" t="str">
        <x:v>OS-6278</x:v>
      </x:c>
      <x:c r="D1027" s="17" t="str">
        <x:v>2026-06-16 17:30:00</x:v>
      </x:c>
      <x:c r="E1027" s="17" t="str">
        <x:v>Johnson&amp;Johnson</x:v>
      </x:c>
      <x:c r="F1027" s="17" t="str">
        <x:v>Kennon Yori - indeterminado;
Maura Corcoran - indeterminado</x:v>
      </x:c>
      <x:c r="G1027" s="17" t="str">
        <x:v>Concluído</x:v>
      </x:c>
      <x:c r="H1027" s="17" t="str">
        <x:v>Pago</x:v>
      </x:c>
      <x:c r="I1027" s="21" t="n">
        <x:v>1047.75</x:v>
      </x:c>
    </x:row>
    <x:row r="1028" ht="36" hidden="0" customHeight="1">
      <x:c r="A1028" s="17" t="n">
        <x:v>1028</x:v>
      </x:c>
      <x:c r="B1028" s="17" t="str">
        <x:v>OP-1272</x:v>
      </x:c>
      <x:c r="C1028" s="17" t="str">
        <x:v>OS-6281</x:v>
      </x:c>
      <x:c r="D1028" s="17" t="str">
        <x:v>2026-06-16 17:30:00</x:v>
      </x:c>
      <x:c r="E1028" s="17" t="str">
        <x:v>Johnson&amp;Johnson</x:v>
      </x:c>
      <x:c r="F1028" s="17" t="str">
        <x:v>Luis Luna - indeterminado;
Matthew Kuwamoto - indeterminado;
Daniel Lamont - indeterminado</x:v>
      </x:c>
      <x:c r="G1028" s="17" t="str">
        <x:v>Concluído</x:v>
      </x:c>
      <x:c r="H1028" s="17" t="str">
        <x:v>Pago</x:v>
      </x:c>
      <x:c r="I1028" s="21" t="n">
        <x:v>1047.75</x:v>
      </x:c>
    </x:row>
    <x:row r="1029" ht="36" hidden="0" customHeight="1">
      <x:c r="A1029" s="17" t="n">
        <x:v>1029</x:v>
      </x:c>
      <x:c r="B1029" s="17" t="str">
        <x:v>OP-1267</x:v>
      </x:c>
      <x:c r="C1029" s="17" t="str">
        <x:v>OS-6049</x:v>
      </x:c>
      <x:c r="D1029" s="17" t="str">
        <x:v>2026-06-17 07:30:00</x:v>
      </x:c>
      <x:c r="E1029" s="17" t="str">
        <x:v>Johnson&amp;Johnson</x:v>
      </x:c>
      <x:c r="F1029" s="17" t="str">
        <x:v>Albert Liu - +1 (310) 462-6175;
Taifa Nyiendo - +1 (908) 933-8369-6;
Max Baumgartner - (26) 0418-3503</x:v>
      </x:c>
      <x:c r="G1029" s="17" t="str">
        <x:v>Concluído</x:v>
      </x:c>
      <x:c r="H1029" s="17" t="str">
        <x:v>Pago</x:v>
      </x:c>
      <x:c r="I1029" s="21" t="n">
        <x:v>174.51</x:v>
      </x:c>
    </x:row>
    <x:row r="1030" ht="15" hidden="0" customHeight="1">
      <x:c r="A1030" s="17" t="n">
        <x:v>1030</x:v>
      </x:c>
      <x:c r="B1030" s="17" t="str">
        <x:v>OP-1268</x:v>
      </x:c>
      <x:c r="C1030" s="17" t="str">
        <x:v>OS-6375</x:v>
      </x:c>
      <x:c r="D1030" s="17" t="str">
        <x:v>2026-06-17 07:40:00</x:v>
      </x:c>
      <x:c r="E1030" s="17" t="str">
        <x:v>Kenvue</x:v>
      </x:c>
      <x:c r="F1030" s="17" t="str">
        <x:v>Sr. Arunava Banerjee - +1 (609) 553-5715</x:v>
      </x:c>
      <x:c r="G1030" s="17" t="str">
        <x:v>Concluído</x:v>
      </x:c>
      <x:c r="H1030" s="17" t="str">
        <x:v>Pago</x:v>
      </x:c>
      <x:c r="I1030" s="21" t="n">
        <x:v>174.51</x:v>
      </x:c>
    </x:row>
    <x:row r="1031" ht="24" hidden="0" customHeight="1">
      <x:c r="A1031" s="17" t="n">
        <x:v>1031</x:v>
      </x:c>
      <x:c r="B1031" s="17" t="str">
        <x:v>OP-1272</x:v>
      </x:c>
      <x:c r="C1031" s="17" t="str">
        <x:v>OS-6344</x:v>
      </x:c>
      <x:c r="D1031" s="17" t="str">
        <x:v>2026-06-17 08:00:00</x:v>
      </x:c>
      <x:c r="E1031" s="17" t="str">
        <x:v>Johnson&amp;Johnson</x:v>
      </x:c>
      <x:c r="F1031" s="17" t="str">
        <x:v>Kennon Yori - indeterminado;
Maura Corcoran - indeterminado</x:v>
      </x:c>
      <x:c r="G1031" s="17" t="str">
        <x:v>Concluído</x:v>
      </x:c>
      <x:c r="H1031" s="17" t="str">
        <x:v>Pago</x:v>
      </x:c>
      <x:c r="I1031" s="21" t="n">
        <x:v>354.11</x:v>
      </x:c>
    </x:row>
    <x:row r="1032" ht="36" hidden="0" customHeight="1">
      <x:c r="A1032" s="17" t="n">
        <x:v>1032</x:v>
      </x:c>
      <x:c r="B1032" s="17" t="str">
        <x:v>OP-1272</x:v>
      </x:c>
      <x:c r="C1032" s="17" t="str">
        <x:v>OS-6345</x:v>
      </x:c>
      <x:c r="D1032" s="17" t="str">
        <x:v>2026-06-17 08:00:00</x:v>
      </x:c>
      <x:c r="E1032" s="17" t="str">
        <x:v>Johnson&amp;Johnson</x:v>
      </x:c>
      <x:c r="F1032" s="17" t="str">
        <x:v>Luis Luna - indeterminado;
Matthew Kuwamoto - indeterminado;
Daniel Lamont - indeterminado</x:v>
      </x:c>
      <x:c r="G1032" s="17" t="str">
        <x:v>Concluído</x:v>
      </x:c>
      <x:c r="H1032" s="17" t="str">
        <x:v>Pago</x:v>
      </x:c>
      <x:c r="I1032" s="21" t="n">
        <x:v>354.11</x:v>
      </x:c>
    </x:row>
    <x:row r="1033" ht="15" hidden="0" customHeight="1">
      <x:c r="A1033" s="17" t="n">
        <x:v>1033</x:v>
      </x:c>
      <x:c r="B1033" s="17" t="str">
        <x:v>OP-1275</x:v>
      </x:c>
      <x:c r="C1033" s="17" t="str">
        <x:v>OS-5955</x:v>
      </x:c>
      <x:c r="D1033" s="17" t="str">
        <x:v>2026-06-17 08:10:00</x:v>
      </x:c>
      <x:c r="E1033" s="17" t="str">
        <x:v>Kenvue</x:v>
      </x:c>
      <x:c r="F1033" s="17" t="str">
        <x:v>Dashreen Kaur - +65 812 1144 6</x:v>
      </x:c>
      <x:c r="G1033" s="17" t="str">
        <x:v>Concluído</x:v>
      </x:c>
      <x:c r="H1033" s="17" t="str">
        <x:v>Pago</x:v>
      </x:c>
      <x:c r="I1033" s="21" t="n">
        <x:v>160.51</x:v>
      </x:c>
    </x:row>
    <x:row r="1034" ht="15" hidden="0" customHeight="1">
      <x:c r="A1034" s="17" t="n">
        <x:v>1034</x:v>
      </x:c>
      <x:c r="B1034" s="17" t="str">
        <x:v>OP-1289</x:v>
      </x:c>
      <x:c r="C1034" s="17" t="str">
        <x:v>OS-5816</x:v>
      </x:c>
      <x:c r="D1034" s="17" t="str">
        <x:v>2026-06-17 08:30:00</x:v>
      </x:c>
      <x:c r="E1034" s="17" t="str">
        <x:v>Johnson&amp;Johnson</x:v>
      </x:c>
      <x:c r="F1034" s="17" t="str">
        <x:v>Alberto Cardoso - +55 (12) 99629-4747</x:v>
      </x:c>
      <x:c r="G1034" s="17" t="str">
        <x:v>Concluído</x:v>
      </x:c>
      <x:c r="H1034" s="17" t="str">
        <x:v>Pago</x:v>
      </x:c>
      <x:c r="I1034" s="21" t="n">
        <x:v>139.58</x:v>
      </x:c>
    </x:row>
    <x:row r="1035" ht="15" hidden="0" customHeight="1">
      <x:c r="A1035" s="17" t="n">
        <x:v>1035</x:v>
      </x:c>
      <x:c r="B1035" s="17" t="str">
        <x:v>OP-1272</x:v>
      </x:c>
      <x:c r="C1035" s="17" t="str">
        <x:v>OS-6342</x:v>
      </x:c>
      <x:c r="D1035" s="17" t="str">
        <x:v>2026-06-17 11:00:00</x:v>
      </x:c>
      <x:c r="E1035" s="17" t="str">
        <x:v>Johnson&amp;Johnson</x:v>
      </x:c>
      <x:c r="F1035" s="17" t="str">
        <x:v>Bernadete Nogueira - 12981227532</x:v>
      </x:c>
      <x:c r="G1035" s="17" t="str">
        <x:v>Concluído</x:v>
      </x:c>
      <x:c r="H1035" s="17" t="str">
        <x:v>Pago</x:v>
      </x:c>
      <x:c r="I1035" s="21" t="n">
        <x:v>707.64</x:v>
      </x:c>
    </x:row>
    <x:row r="1036" ht="15" hidden="0" customHeight="1">
      <x:c r="A1036" s="17" t="n">
        <x:v>1036</x:v>
      </x:c>
      <x:c r="B1036" s="17" t="str">
        <x:v>OP-1272</x:v>
      </x:c>
      <x:c r="C1036" s="17" t="str">
        <x:v>OS-6343</x:v>
      </x:c>
      <x:c r="D1036" s="17" t="str">
        <x:v>2026-06-17 11:00:00</x:v>
      </x:c>
      <x:c r="E1036" s="17" t="str">
        <x:v>Johnson&amp;Johnson</x:v>
      </x:c>
      <x:c r="F1036" s="17" t="str">
        <x:v>Bernadete Nogueira - 12981227532</x:v>
      </x:c>
      <x:c r="G1036" s="17" t="str">
        <x:v>Concluído</x:v>
      </x:c>
      <x:c r="H1036" s="17" t="str">
        <x:v>Pago</x:v>
      </x:c>
      <x:c r="I1036" s="21" t="n">
        <x:v>707.64</x:v>
      </x:c>
    </x:row>
    <x:row r="1037" ht="15" hidden="0" customHeight="1">
      <x:c r="A1037" s="17" t="n">
        <x:v>1037</x:v>
      </x:c>
      <x:c r="B1037" s="17" t="str">
        <x:v>OP-1285</x:v>
      </x:c>
      <x:c r="C1037" s="17" t="str">
        <x:v>OS-6378</x:v>
      </x:c>
      <x:c r="D1037" s="17" t="str">
        <x:v>2026-06-17 15:00:00</x:v>
      </x:c>
      <x:c r="E1037" s="17" t="str">
        <x:v>Particular</x:v>
      </x:c>
      <x:c r="F1037" s="17" t="str">
        <x:v>Fernando Silva Lopes - +55 (11) 95034-5605</x:v>
      </x:c>
      <x:c r="G1037" s="17" t="str">
        <x:v>Concluído</x:v>
      </x:c>
      <x:c r="H1037" s="17" t="str">
        <x:v>Pago</x:v>
      </x:c>
      <x:c r="I1037" s="21" t="n">
        <x:v>1290</x:v>
      </x:c>
    </x:row>
    <x:row r="1038" ht="15" hidden="0" customHeight="1">
      <x:c r="A1038" s="17" t="n">
        <x:v>1038</x:v>
      </x:c>
      <x:c r="B1038" s="17" t="str">
        <x:v>OP-1289</x:v>
      </x:c>
      <x:c r="C1038" s="17" t="str">
        <x:v>OS-5860</x:v>
      </x:c>
      <x:c r="D1038" s="17" t="str">
        <x:v>2026-06-17 15:30:00</x:v>
      </x:c>
      <x:c r="E1038" s="17" t="str">
        <x:v>Johnson&amp;Johnson</x:v>
      </x:c>
      <x:c r="F1038" s="17" t="str">
        <x:v>Alberto Cardoso - +55 (12) 99629-4747</x:v>
      </x:c>
      <x:c r="G1038" s="17" t="str">
        <x:v>Concluído</x:v>
      </x:c>
      <x:c r="H1038" s="17" t="str">
        <x:v>Pago</x:v>
      </x:c>
      <x:c r="I1038" s="21" t="n">
        <x:v>139.58</x:v>
      </x:c>
    </x:row>
    <x:row r="1039" ht="36" hidden="0" customHeight="1">
      <x:c r="A1039" s="17" t="n">
        <x:v>1039</x:v>
      </x:c>
      <x:c r="B1039" s="17" t="str">
        <x:v>OP-1267</x:v>
      </x:c>
      <x:c r="C1039" s="17" t="str">
        <x:v>OS-6054</x:v>
      </x:c>
      <x:c r="D1039" s="17" t="str">
        <x:v>2026-06-17 17:00:00</x:v>
      </x:c>
      <x:c r="E1039" s="17" t="str">
        <x:v>Johnson&amp;Johnson</x:v>
      </x:c>
      <x:c r="F1039" s="17" t="str">
        <x:v>Albert Liu - +1 (310) 462-6175;
Taifa Nyiendo - +1 (908) 933-8369-6;
Max Baumgartner - (26) 0418-3503</x:v>
      </x:c>
      <x:c r="G1039" s="17" t="str">
        <x:v>Concluído</x:v>
      </x:c>
      <x:c r="H1039" s="17" t="str">
        <x:v>Pago</x:v>
      </x:c>
      <x:c r="I1039" s="21" t="n">
        <x:v>272.93</x:v>
      </x:c>
    </x:row>
    <x:row r="1040" ht="15" hidden="0" customHeight="1">
      <x:c r="A1040" s="17" t="n">
        <x:v>1040</x:v>
      </x:c>
      <x:c r="B1040" s="17" t="str">
        <x:v>OP-1275</x:v>
      </x:c>
      <x:c r="C1040" s="17" t="str">
        <x:v>OS-5964</x:v>
      </x:c>
      <x:c r="D1040" s="17" t="str">
        <x:v>2026-06-17 17:00:00</x:v>
      </x:c>
      <x:c r="E1040" s="17" t="str">
        <x:v>Kenvue</x:v>
      </x:c>
      <x:c r="F1040" s="17" t="str">
        <x:v>Dashreen Kaur - +65 812 1144 6</x:v>
      </x:c>
      <x:c r="G1040" s="17" t="str">
        <x:v>Concluído</x:v>
      </x:c>
      <x:c r="H1040" s="17" t="str">
        <x:v>Pago</x:v>
      </x:c>
      <x:c r="I1040" s="21" t="n">
        <x:v>160.51</x:v>
      </x:c>
    </x:row>
    <x:row r="1041" ht="24" hidden="0" customHeight="1">
      <x:c r="A1041" s="17" t="n">
        <x:v>1041</x:v>
      </x:c>
      <x:c r="B1041" s="17" t="str">
        <x:v>OP-1272</x:v>
      </x:c>
      <x:c r="C1041" s="17" t="str">
        <x:v>OS-6346</x:v>
      </x:c>
      <x:c r="D1041" s="17" t="str">
        <x:v>2026-06-17 17:15:00</x:v>
      </x:c>
      <x:c r="E1041" s="17" t="str">
        <x:v>Johnson&amp;Johnson</x:v>
      </x:c>
      <x:c r="F1041" s="17" t="str">
        <x:v>Kennon Yori - indeterminado;
Maura Corcoran - indeterminado</x:v>
      </x:c>
      <x:c r="G1041" s="17" t="str">
        <x:v>Concluído</x:v>
      </x:c>
      <x:c r="H1041" s="17" t="str">
        <x:v>Pago</x:v>
      </x:c>
      <x:c r="I1041" s="21" t="n">
        <x:v>1047.75</x:v>
      </x:c>
    </x:row>
    <x:row r="1042" ht="24" hidden="0" customHeight="1">
      <x:c r="A1042" s="17" t="n">
        <x:v>1042</x:v>
      </x:c>
      <x:c r="B1042" s="17" t="str">
        <x:v>OP-1272</x:v>
      </x:c>
      <x:c r="C1042" s="17" t="str">
        <x:v>OS-6347</x:v>
      </x:c>
      <x:c r="D1042" s="17" t="str">
        <x:v>2026-06-17 17:15:00</x:v>
      </x:c>
      <x:c r="E1042" s="17" t="str">
        <x:v>Johnson&amp;Johnson</x:v>
      </x:c>
      <x:c r="F1042" s="17" t="str">
        <x:v>Luis Luna - indeterminado;
Matthew Kuwamoto - indeterminado</x:v>
      </x:c>
      <x:c r="G1042" s="17" t="str">
        <x:v>Concluído</x:v>
      </x:c>
      <x:c r="H1042" s="17" t="str">
        <x:v>Pago</x:v>
      </x:c>
      <x:c r="I1042" s="21" t="n">
        <x:v>1632.88</x:v>
      </x:c>
    </x:row>
    <x:row r="1043" ht="15" hidden="0" customHeight="1">
      <x:c r="A1043" s="17" t="n">
        <x:v>1043</x:v>
      </x:c>
      <x:c r="B1043" s="17" t="str">
        <x:v>OP-1272</x:v>
      </x:c>
      <x:c r="C1043" s="17" t="str">
        <x:v>OS-6349</x:v>
      </x:c>
      <x:c r="D1043" s="17" t="str">
        <x:v>2026-06-17 17:30:00</x:v>
      </x:c>
      <x:c r="E1043" s="17" t="str">
        <x:v>Johnson&amp;Johnson</x:v>
      </x:c>
      <x:c r="F1043" s="17" t="str">
        <x:v>Daniel Lamont - indeterminado</x:v>
      </x:c>
      <x:c r="G1043" s="17" t="str">
        <x:v>Concluído</x:v>
      </x:c>
      <x:c r="H1043" s="17" t="str">
        <x:v>Pago</x:v>
      </x:c>
      <x:c r="I1043" s="21" t="n">
        <x:v>925.24</x:v>
      </x:c>
    </x:row>
    <x:row r="1044" ht="15" hidden="0" customHeight="1">
      <x:c r="A1044" s="17" t="n">
        <x:v>1044</x:v>
      </x:c>
      <x:c r="B1044" s="17" t="str">
        <x:v>OP-1341</x:v>
      </x:c>
      <x:c r="C1044" s="17" t="str">
        <x:v>OS-6042</x:v>
      </x:c>
      <x:c r="D1044" s="17" t="str">
        <x:v>2026-06-18 07:10:00</x:v>
      </x:c>
      <x:c r="E1044" s="17" t="str">
        <x:v>Johnson&amp;Johnson</x:v>
      </x:c>
      <x:c r="F1044" s="17" t="str">
        <x:v>Thais Ferrara - +55 (12) 99211-3851</x:v>
      </x:c>
      <x:c r="G1044" s="17" t="str">
        <x:v>Concluído</x:v>
      </x:c>
      <x:c r="H1044" s="17" t="str">
        <x:v>Pago</x:v>
      </x:c>
      <x:c r="I1044" s="21" t="n">
        <x:v>306</x:v>
      </x:c>
    </x:row>
    <x:row r="1045" ht="36" hidden="0" customHeight="1">
      <x:c r="A1045" s="17" t="n">
        <x:v>1045</x:v>
      </x:c>
      <x:c r="B1045" s="17" t="str">
        <x:v>OP-1267</x:v>
      </x:c>
      <x:c r="C1045" s="17" t="str">
        <x:v>OS-6050</x:v>
      </x:c>
      <x:c r="D1045" s="17" t="str">
        <x:v>2026-06-18 07:30:00</x:v>
      </x:c>
      <x:c r="E1045" s="17" t="str">
        <x:v>Johnson&amp;Johnson</x:v>
      </x:c>
      <x:c r="F1045" s="17" t="str">
        <x:v>Albert Liu - +1 (310) 462-6175;
Taifa Nyiendo - +1 (908) 933-8369-6;
Max Baumgartner - (26) 0418-3503</x:v>
      </x:c>
      <x:c r="G1045" s="17" t="str">
        <x:v>Concluído</x:v>
      </x:c>
      <x:c r="H1045" s="17" t="str">
        <x:v>Pago</x:v>
      </x:c>
      <x:c r="I1045" s="21" t="n">
        <x:v>174.51</x:v>
      </x:c>
    </x:row>
    <x:row r="1046" ht="15" hidden="0" customHeight="1">
      <x:c r="A1046" s="17" t="n">
        <x:v>1046</x:v>
      </x:c>
      <x:c r="B1046" s="17" t="str">
        <x:v>OP-1268</x:v>
      </x:c>
      <x:c r="C1046" s="17" t="str">
        <x:v>OS-6425</x:v>
      </x:c>
      <x:c r="D1046" s="17" t="str">
        <x:v>2026-06-18 07:30:00</x:v>
      </x:c>
      <x:c r="E1046" s="17" t="str">
        <x:v>Kenvue</x:v>
      </x:c>
      <x:c r="F1046" s="17" t="str">
        <x:v>Sr. Arunava Banerjee - +1 (609) 553-5715</x:v>
      </x:c>
      <x:c r="G1046" s="17" t="str">
        <x:v>Concluído</x:v>
      </x:c>
      <x:c r="H1046" s="17" t="str">
        <x:v>Pago</x:v>
      </x:c>
      <x:c r="I1046" s="21" t="n">
        <x:v>349.02</x:v>
      </x:c>
    </x:row>
    <x:row r="1047" ht="15" hidden="0" customHeight="1">
      <x:c r="A1047" s="17" t="n">
        <x:v>1047</x:v>
      </x:c>
      <x:c r="B1047" s="17" t="str">
        <x:v>OP-1274</x:v>
      </x:c>
      <x:c r="C1047" s="17" t="str">
        <x:v>OS-6426</x:v>
      </x:c>
      <x:c r="D1047" s="17" t="str">
        <x:v>2026-06-18 07:40:00</x:v>
      </x:c>
      <x:c r="E1047" s="17" t="str">
        <x:v>Boeing</x:v>
      </x:c>
      <x:c r="F1047" s="17" t="str">
        <x:v>Alvaro Reis - +1 (298) 138-9887-5512</x:v>
      </x:c>
      <x:c r="G1047" s="17" t="str">
        <x:v>Concluído</x:v>
      </x:c>
      <x:c r="H1047" s="17" t="str">
        <x:v>Pago</x:v>
      </x:c>
      <x:c r="I1047" s="21" t="n">
        <x:v>779.15</x:v>
      </x:c>
    </x:row>
    <x:row r="1048" ht="15" hidden="0" customHeight="1">
      <x:c r="A1048" s="17" t="n">
        <x:v>1048</x:v>
      </x:c>
      <x:c r="B1048" s="17" t="str">
        <x:v>OP-1275</x:v>
      </x:c>
      <x:c r="C1048" s="17" t="str">
        <x:v>OS-5956</x:v>
      </x:c>
      <x:c r="D1048" s="17" t="str">
        <x:v>2026-06-18 08:00:00</x:v>
      </x:c>
      <x:c r="E1048" s="17" t="str">
        <x:v>Kenvue</x:v>
      </x:c>
      <x:c r="F1048" s="17" t="str">
        <x:v>Dashreen Kaur - +65 812 1144 6</x:v>
      </x:c>
      <x:c r="G1048" s="17" t="str">
        <x:v>Concluído</x:v>
      </x:c>
      <x:c r="H1048" s="17" t="str">
        <x:v>Pago</x:v>
      </x:c>
      <x:c r="I1048" s="21" t="n">
        <x:v>160.51</x:v>
      </x:c>
    </x:row>
    <x:row r="1049" ht="24" hidden="0" customHeight="1">
      <x:c r="A1049" s="17" t="n">
        <x:v>1049</x:v>
      </x:c>
      <x:c r="B1049" s="17" t="str">
        <x:v>OP-1272</x:v>
      </x:c>
      <x:c r="C1049" s="17" t="str">
        <x:v>OS-6395</x:v>
      </x:c>
      <x:c r="D1049" s="17" t="str">
        <x:v>2026-06-18 08:00:00</x:v>
      </x:c>
      <x:c r="E1049" s="17" t="str">
        <x:v>Johnson&amp;Johnson</x:v>
      </x:c>
      <x:c r="F1049" s="17" t="str">
        <x:v>Kennon Yori - indeterminado;
Maura Corcoran - indeterminado</x:v>
      </x:c>
      <x:c r="G1049" s="17" t="str">
        <x:v>Concluído</x:v>
      </x:c>
      <x:c r="H1049" s="17" t="str">
        <x:v>Pago</x:v>
      </x:c>
      <x:c r="I1049" s="21" t="n">
        <x:v>354.11</x:v>
      </x:c>
    </x:row>
    <x:row r="1050" ht="36" hidden="0" customHeight="1">
      <x:c r="A1050" s="17" t="n">
        <x:v>1050</x:v>
      </x:c>
      <x:c r="B1050" s="17" t="str">
        <x:v>OP-1272</x:v>
      </x:c>
      <x:c r="C1050" s="17" t="str">
        <x:v>OS-6396</x:v>
      </x:c>
      <x:c r="D1050" s="17" t="str">
        <x:v>2026-06-18 08:00:00</x:v>
      </x:c>
      <x:c r="E1050" s="17" t="str">
        <x:v>Johnson&amp;Johnson</x:v>
      </x:c>
      <x:c r="F1050" s="17" t="str">
        <x:v>Luis Luna - indeterminado;
Matthew Kuwamoto - indeterminado;
Daniel Lamont - indeterminado</x:v>
      </x:c>
      <x:c r="G1050" s="17" t="str">
        <x:v>Concluído</x:v>
      </x:c>
      <x:c r="H1050" s="17" t="str">
        <x:v>Pago</x:v>
      </x:c>
      <x:c r="I1050" s="21" t="n">
        <x:v>354.11</x:v>
      </x:c>
    </x:row>
    <x:row r="1051" ht="15" hidden="0" customHeight="1">
      <x:c r="A1051" s="17" t="n">
        <x:v>1051</x:v>
      </x:c>
      <x:c r="B1051" s="17" t="str">
        <x:v>OP-1289</x:v>
      </x:c>
      <x:c r="C1051" s="17" t="str">
        <x:v>OS-5817</x:v>
      </x:c>
      <x:c r="D1051" s="17" t="str">
        <x:v>2026-06-18 08:30:00</x:v>
      </x:c>
      <x:c r="E1051" s="17" t="str">
        <x:v>Johnson&amp;Johnson</x:v>
      </x:c>
      <x:c r="F1051" s="17" t="str">
        <x:v>Alberto Cardoso - +55 (12) 99629-4747</x:v>
      </x:c>
      <x:c r="G1051" s="17" t="str">
        <x:v>Concluído</x:v>
      </x:c>
      <x:c r="H1051" s="17" t="str">
        <x:v>Pago</x:v>
      </x:c>
      <x:c r="I1051" s="21" t="n">
        <x:v>139.58</x:v>
      </x:c>
    </x:row>
    <x:row r="1052" ht="15" hidden="0" customHeight="1">
      <x:c r="A1052" s="17" t="n">
        <x:v>1052</x:v>
      </x:c>
      <x:c r="B1052" s="17" t="str">
        <x:v>OP-1287</x:v>
      </x:c>
      <x:c r="C1052" s="17" t="str">
        <x:v>OS-6428</x:v>
      </x:c>
      <x:c r="D1052" s="17" t="str">
        <x:v>2026-06-18 12:00:00</x:v>
      </x:c>
      <x:c r="E1052" s="17" t="str">
        <x:v>Particular</x:v>
      </x:c>
      <x:c r="F1052" s="17" t="str">
        <x:v>Fernando Silva Lopes - +55 (11) 95034-5605</x:v>
      </x:c>
      <x:c r="G1052" s="17" t="str">
        <x:v>Concluído</x:v>
      </x:c>
      <x:c r="H1052" s="17" t="str">
        <x:v>Pago</x:v>
      </x:c>
      <x:c r="I1052" s="21" t="n">
        <x:v>1290</x:v>
      </x:c>
    </x:row>
    <x:row r="1053" ht="15" hidden="0" customHeight="1">
      <x:c r="A1053" s="17" t="n">
        <x:v>1053</x:v>
      </x:c>
      <x:c r="B1053" s="17" t="str">
        <x:v>OP-1264</x:v>
      </x:c>
      <x:c r="C1053" s="17" t="str">
        <x:v>OS-6235</x:v>
      </x:c>
      <x:c r="D1053" s="17" t="str">
        <x:v>2026-06-18 13:00:00</x:v>
      </x:c>
      <x:c r="E1053" s="17" t="str">
        <x:v>Héroux-Devtek Inc.</x:v>
      </x:c>
      <x:c r="F1053" s="17" t="str">
        <x:v>Étienne Lord - +1 (438) 342-4023</x:v>
      </x:c>
      <x:c r="G1053" s="17" t="str">
        <x:v>Concluído</x:v>
      </x:c>
      <x:c r="H1053" s="17" t="str">
        <x:v>Pagamento Pendente</x:v>
      </x:c>
      <x:c r="I1053" s="21" t="n">
        <x:v>1955.68</x:v>
      </x:c>
    </x:row>
    <x:row r="1054" ht="36" hidden="0" customHeight="1">
      <x:c r="A1054" s="17" t="n">
        <x:v>1054</x:v>
      </x:c>
      <x:c r="B1054" s="17" t="str">
        <x:v>OP-1272</x:v>
      </x:c>
      <x:c r="C1054" s="17" t="str">
        <x:v>OS-6397</x:v>
      </x:c>
      <x:c r="D1054" s="17" t="str">
        <x:v>2026-06-18 13:00:00</x:v>
      </x:c>
      <x:c r="E1054" s="17" t="str">
        <x:v>Johnson&amp;Johnson</x:v>
      </x:c>
      <x:c r="F1054" s="17" t="str">
        <x:v>Luis Luna - indeterminado;
Matthew Kuwamoto - indeterminado;
Daniel Lamont - indeterminado</x:v>
      </x:c>
      <x:c r="G1054" s="17" t="str">
        <x:v>Concluído</x:v>
      </x:c>
      <x:c r="H1054" s="17" t="str">
        <x:v>Pago</x:v>
      </x:c>
      <x:c r="I1054" s="21" t="n">
        <x:v>802.73</x:v>
      </x:c>
    </x:row>
    <x:row r="1055" ht="24" hidden="0" customHeight="1">
      <x:c r="A1055" s="17" t="n">
        <x:v>1055</x:v>
      </x:c>
      <x:c r="B1055" s="17" t="str">
        <x:v>OP-1272</x:v>
      </x:c>
      <x:c r="C1055" s="17" t="str">
        <x:v>OS-6400</x:v>
      </x:c>
      <x:c r="D1055" s="17" t="str">
        <x:v>2026-06-18 13:00:00</x:v>
      </x:c>
      <x:c r="E1055" s="17" t="str">
        <x:v>Johnson&amp;Johnson</x:v>
      </x:c>
      <x:c r="F1055" s="17" t="str">
        <x:v>Kennon Yori - indeterminado;
Maura Corcoran - indeterminado</x:v>
      </x:c>
      <x:c r="G1055" s="17" t="str">
        <x:v>Concluído</x:v>
      </x:c>
      <x:c r="H1055" s="17" t="str">
        <x:v>Pago</x:v>
      </x:c>
      <x:c r="I1055" s="21" t="n">
        <x:v>802.73</x:v>
      </x:c>
    </x:row>
    <x:row r="1056" ht="15" hidden="0" customHeight="1">
      <x:c r="A1056" s="17" t="n">
        <x:v>1056</x:v>
      </x:c>
      <x:c r="B1056" s="17" t="str">
        <x:v>OP-1289</x:v>
      </x:c>
      <x:c r="C1056" s="17" t="str">
        <x:v>OS-5861</x:v>
      </x:c>
      <x:c r="D1056" s="17" t="str">
        <x:v>2026-06-18 15:30:00</x:v>
      </x:c>
      <x:c r="E1056" s="17" t="str">
        <x:v>Johnson&amp;Johnson</x:v>
      </x:c>
      <x:c r="F1056" s="17" t="str">
        <x:v>Alberto Cardoso - +55 (12) 99629-4747</x:v>
      </x:c>
      <x:c r="G1056" s="17" t="str">
        <x:v>Concluído</x:v>
      </x:c>
      <x:c r="H1056" s="17" t="str">
        <x:v>Pago</x:v>
      </x:c>
      <x:c r="I1056" s="21" t="n">
        <x:v>139.58</x:v>
      </x:c>
    </x:row>
    <x:row r="1057" ht="36" hidden="0" customHeight="1">
      <x:c r="A1057" s="17" t="n">
        <x:v>1057</x:v>
      </x:c>
      <x:c r="B1057" s="17" t="str">
        <x:v>OP-1267</x:v>
      </x:c>
      <x:c r="C1057" s="17" t="str">
        <x:v>OS-6055</x:v>
      </x:c>
      <x:c r="D1057" s="17" t="str">
        <x:v>2026-06-18 17:00:00</x:v>
      </x:c>
      <x:c r="E1057" s="17" t="str">
        <x:v>Johnson&amp;Johnson</x:v>
      </x:c>
      <x:c r="F1057" s="17" t="str">
        <x:v>Albert Liu - +1 (310) 462-6175;
Taifa Nyiendo - +1 (908) 933-8369-6;
Max Baumgartner - (26) 0418-3503</x:v>
      </x:c>
      <x:c r="G1057" s="17" t="str">
        <x:v>Concluído</x:v>
      </x:c>
      <x:c r="H1057" s="17" t="str">
        <x:v>Pago</x:v>
      </x:c>
      <x:c r="I1057" s="21" t="n">
        <x:v>489.65</x:v>
      </x:c>
    </x:row>
    <x:row r="1058" ht="15" hidden="0" customHeight="1">
      <x:c r="A1058" s="17" t="n">
        <x:v>1058</x:v>
      </x:c>
      <x:c r="B1058" s="17" t="str">
        <x:v>OP-1275</x:v>
      </x:c>
      <x:c r="C1058" s="17" t="str">
        <x:v>OS-5965</x:v>
      </x:c>
      <x:c r="D1058" s="17" t="str">
        <x:v>2026-06-18 17:00:00</x:v>
      </x:c>
      <x:c r="E1058" s="17" t="str">
        <x:v>Kenvue</x:v>
      </x:c>
      <x:c r="F1058" s="17" t="str">
        <x:v>Dashreen Kaur - +65 812 1144 6</x:v>
      </x:c>
      <x:c r="G1058" s="17" t="str">
        <x:v>Concluído</x:v>
      </x:c>
      <x:c r="H1058" s="17" t="str">
        <x:v>Pago</x:v>
      </x:c>
      <x:c r="I1058" s="21" t="n">
        <x:v>0</x:v>
      </x:c>
    </x:row>
    <x:row r="1059" ht="48" hidden="0" customHeight="1">
      <x:c r="A1059" s="17" t="n">
        <x:v>1059</x:v>
      </x:c>
      <x:c r="B1059" s="17" t="str">
        <x:v>OP-1272</x:v>
      </x:c>
      <x:c r="C1059" s="17" t="str">
        <x:v>OS-6398</x:v>
      </x:c>
      <x:c r="D1059" s="17" t="str">
        <x:v>2026-06-18 17:00:00</x:v>
      </x:c>
      <x:c r="E1059" s="17" t="str">
        <x:v>Johnson&amp;Johnson</x:v>
      </x:c>
      <x:c r="F1059" s="17" t="str">
        <x:v>Luis Luna - indeterminado;
Matthew Kuwamoto - indeterminado;
Daniel Lamont - indeterminado;
Maura Corcoran - indeterminado</x:v>
      </x:c>
      <x:c r="G1059" s="17" t="str">
        <x:v>Concluído</x:v>
      </x:c>
      <x:c r="H1059" s="17" t="str">
        <x:v>Pago</x:v>
      </x:c>
      <x:c r="I1059" s="21" t="n">
        <x:v>1172.94</x:v>
      </x:c>
    </x:row>
    <x:row r="1060" ht="48" hidden="0" customHeight="1">
      <x:c r="A1060" s="17" t="n">
        <x:v>1060</x:v>
      </x:c>
      <x:c r="B1060" s="17" t="str">
        <x:v>OP-1272</x:v>
      </x:c>
      <x:c r="C1060" s="17" t="str">
        <x:v>OS-6401</x:v>
      </x:c>
      <x:c r="D1060" s="17" t="str">
        <x:v>2026-06-18 17:00:00</x:v>
      </x:c>
      <x:c r="E1060" s="17" t="str">
        <x:v>Johnson&amp;Johnson</x:v>
      </x:c>
      <x:c r="F1060" s="17" t="str">
        <x:v>Maura Corcoran - indeterminado;
Matthew Kuwamoto - indeterminado;
Luis Luna - indeterminado;
Daniel Lamont - indeterminado</x:v>
      </x:c>
      <x:c r="G1060" s="17" t="str">
        <x:v>Concluído</x:v>
      </x:c>
      <x:c r="H1060" s="17" t="str">
        <x:v>Pago</x:v>
      </x:c>
      <x:c r="I1060" s="21" t="n">
        <x:v>1172.94</x:v>
      </x:c>
    </x:row>
    <x:row r="1061" ht="15" hidden="0" customHeight="1">
      <x:c r="A1061" s="17" t="n">
        <x:v>1061</x:v>
      </x:c>
      <x:c r="B1061" s="17" t="str">
        <x:v>OP-1304</x:v>
      </x:c>
      <x:c r="C1061" s="17" t="str">
        <x:v>OS-6405</x:v>
      </x:c>
      <x:c r="D1061" s="17" t="str">
        <x:v>2026-06-18 17:30:00</x:v>
      </x:c>
      <x:c r="E1061" s="17" t="str">
        <x:v>Mckinsey</x:v>
      </x:c>
      <x:c r="F1061" s="17" t="str">
        <x:v>Mahsa Galiani - indeterminado</x:v>
      </x:c>
      <x:c r="G1061" s="17" t="str">
        <x:v>Concluído</x:v>
      </x:c>
      <x:c r="H1061" s="17" t="str">
        <x:v>Pago</x:v>
      </x:c>
      <x:c r="I1061" s="21" t="n">
        <x:v>509.42</x:v>
      </x:c>
    </x:row>
    <x:row r="1062" ht="15" hidden="0" customHeight="1">
      <x:c r="A1062" s="17" t="n">
        <x:v>1062</x:v>
      </x:c>
      <x:c r="B1062" s="17" t="str">
        <x:v>OP-1265</x:v>
      </x:c>
      <x:c r="C1062" s="17" t="str">
        <x:v>OS-5702</x:v>
      </x:c>
      <x:c r="D1062" s="17" t="str">
        <x:v>2026-06-18 18:15:00</x:v>
      </x:c>
      <x:c r="E1062" s="17" t="str">
        <x:v>Kenvue</x:v>
      </x:c>
      <x:c r="F1062" s="17" t="str">
        <x:v>Waleska Albino Rodríguez - +1 (813) 210-4807</x:v>
      </x:c>
      <x:c r="G1062" s="17" t="str">
        <x:v>Concluído</x:v>
      </x:c>
      <x:c r="H1062" s="17" t="str">
        <x:v>Pago</x:v>
      </x:c>
      <x:c r="I1062" s="21" t="n">
        <x:v>429.35</x:v>
      </x:c>
    </x:row>
    <x:row r="1063" ht="15" hidden="0" customHeight="1">
      <x:c r="A1063" s="17" t="n">
        <x:v>1063</x:v>
      </x:c>
      <x:c r="B1063" s="17" t="str">
        <x:v>OP-1271</x:v>
      </x:c>
      <x:c r="C1063" s="17" t="str">
        <x:v>OS-6199</x:v>
      </x:c>
      <x:c r="D1063" s="17" t="str">
        <x:v>2026-06-19 04:45:00</x:v>
      </x:c>
      <x:c r="E1063" s="17" t="str">
        <x:v>Johnson&amp;Johnson</x:v>
      </x:c>
      <x:c r="F1063" s="17" t="str">
        <x:v>Marcos Pereira - +55 (12) 98127-8432</x:v>
      </x:c>
      <x:c r="G1063" s="17" t="str">
        <x:v>Concluído</x:v>
      </x:c>
      <x:c r="H1063" s="17" t="str">
        <x:v>Pago</x:v>
      </x:c>
      <x:c r="I1063" s="21" t="n">
        <x:v>509.98</x:v>
      </x:c>
    </x:row>
    <x:row r="1064" ht="15" hidden="0" customHeight="1">
      <x:c r="A1064" s="17" t="n">
        <x:v>1064</x:v>
      </x:c>
      <x:c r="B1064" s="17" t="str">
        <x:v>OP-1282</x:v>
      </x:c>
      <x:c r="C1064" s="17" t="str">
        <x:v>OS-6416</x:v>
      </x:c>
      <x:c r="D1064" s="17" t="str">
        <x:v>2026-06-19 06:00:00</x:v>
      </x:c>
      <x:c r="E1064" s="17" t="str">
        <x:v>Johnson&amp;Johnson</x:v>
      </x:c>
      <x:c r="F1064" s="17" t="str">
        <x:v>Vanessa Lima - +55 (12) 98819-0703</x:v>
      </x:c>
      <x:c r="G1064" s="17" t="str">
        <x:v>Concluído</x:v>
      </x:c>
      <x:c r="H1064" s="17" t="str">
        <x:v>Pago</x:v>
      </x:c>
      <x:c r="I1064" s="21" t="n">
        <x:v>1421.03</x:v>
      </x:c>
    </x:row>
    <x:row r="1065" ht="15" hidden="0" customHeight="1">
      <x:c r="A1065" s="17" t="n">
        <x:v>1065</x:v>
      </x:c>
      <x:c r="B1065" s="17" t="str">
        <x:v>OP-1283</x:v>
      </x:c>
      <x:c r="C1065" s="17" t="str">
        <x:v>OS-6390</x:v>
      </x:c>
      <x:c r="D1065" s="17" t="str">
        <x:v>2026-06-19 06:00:00</x:v>
      </x:c>
      <x:c r="E1065" s="17" t="str">
        <x:v>Kenvue</x:v>
      </x:c>
      <x:c r="F1065" s="17" t="str">
        <x:v>Wanessa Oliveira Costa - +55 (12) 98205-9358</x:v>
      </x:c>
      <x:c r="G1065" s="17" t="str">
        <x:v>Concluído</x:v>
      </x:c>
      <x:c r="H1065" s="17" t="str">
        <x:v>Pago</x:v>
      </x:c>
      <x:c r="I1065" s="21" t="n">
        <x:v>1056.24</x:v>
      </x:c>
    </x:row>
    <x:row r="1066" ht="15" hidden="0" customHeight="1">
      <x:c r="A1066" s="17" t="n">
        <x:v>1066</x:v>
      </x:c>
      <x:c r="B1066" s="17" t="str">
        <x:v>OP-1269</x:v>
      </x:c>
      <x:c r="C1066" s="17" t="str">
        <x:v>OS-6427</x:v>
      </x:c>
      <x:c r="D1066" s="17" t="str">
        <x:v>2026-06-19 07:10:00</x:v>
      </x:c>
      <x:c r="E1066" s="17" t="str">
        <x:v>Johnson&amp;Johnson</x:v>
      </x:c>
      <x:c r="F1066" s="17" t="str">
        <x:v>Thais Ferrara - +55 (12) 99211-3851</x:v>
      </x:c>
      <x:c r="G1066" s="17" t="str">
        <x:v>Concluído</x:v>
      </x:c>
      <x:c r="H1066" s="17" t="str">
        <x:v>Pago</x:v>
      </x:c>
      <x:c r="I1066" s="21" t="n">
        <x:v>558.86</x:v>
      </x:c>
    </x:row>
    <x:row r="1067" ht="36" hidden="0" customHeight="1">
      <x:c r="A1067" s="17" t="n">
        <x:v>1067</x:v>
      </x:c>
      <x:c r="B1067" s="17" t="str">
        <x:v>OP-1267</x:v>
      </x:c>
      <x:c r="C1067" s="17" t="str">
        <x:v>OS-6051</x:v>
      </x:c>
      <x:c r="D1067" s="17" t="str">
        <x:v>2026-06-19 07:30:00</x:v>
      </x:c>
      <x:c r="E1067" s="17" t="str">
        <x:v>Johnson&amp;Johnson</x:v>
      </x:c>
      <x:c r="F1067" s="17" t="str">
        <x:v>Albert Liu - +1 (310) 462-6175;
Taifa Nyiendo - +1 (908) 933-8369-6;
Max Baumgartner - (26) 0418-3503</x:v>
      </x:c>
      <x:c r="G1067" s="17" t="str">
        <x:v>Concluído</x:v>
      </x:c>
      <x:c r="H1067" s="17" t="str">
        <x:v>Pago</x:v>
      </x:c>
      <x:c r="I1067" s="21" t="n">
        <x:v>174.51</x:v>
      </x:c>
    </x:row>
    <x:row r="1068" ht="15" hidden="0" customHeight="1">
      <x:c r="A1068" s="17" t="n">
        <x:v>1068</x:v>
      </x:c>
      <x:c r="B1068" s="17" t="str">
        <x:v>OP-1275</x:v>
      </x:c>
      <x:c r="C1068" s="17" t="str">
        <x:v>OS-5957</x:v>
      </x:c>
      <x:c r="D1068" s="17" t="str">
        <x:v>2026-06-19 08:10:00</x:v>
      </x:c>
      <x:c r="E1068" s="17" t="str">
        <x:v>Kenvue</x:v>
      </x:c>
      <x:c r="F1068" s="17" t="str">
        <x:v>Dashreen Kaur - +65 812 1144 6</x:v>
      </x:c>
      <x:c r="G1068" s="17" t="str">
        <x:v>Concluído</x:v>
      </x:c>
      <x:c r="H1068" s="17" t="str">
        <x:v>Pago</x:v>
      </x:c>
      <x:c r="I1068" s="21" t="n">
        <x:v>160.51</x:v>
      </x:c>
    </x:row>
    <x:row r="1069" ht="15" hidden="0" customHeight="1">
      <x:c r="A1069" s="17" t="n">
        <x:v>1069</x:v>
      </x:c>
      <x:c r="B1069" s="17" t="str">
        <x:v>OP-1289</x:v>
      </x:c>
      <x:c r="C1069" s="17" t="str">
        <x:v>OS-5818</x:v>
      </x:c>
      <x:c r="D1069" s="17" t="str">
        <x:v>2026-06-19 08:30:00</x:v>
      </x:c>
      <x:c r="E1069" s="17" t="str">
        <x:v>Johnson&amp;Johnson</x:v>
      </x:c>
      <x:c r="F1069" s="17" t="str">
        <x:v>Alberto Cardoso - +55 (12) 99629-4747</x:v>
      </x:c>
      <x:c r="G1069" s="17" t="str">
        <x:v>Concluído</x:v>
      </x:c>
      <x:c r="H1069" s="17" t="str">
        <x:v>Pago</x:v>
      </x:c>
      <x:c r="I1069" s="21" t="n">
        <x:v>139.58</x:v>
      </x:c>
    </x:row>
    <x:row r="1070" ht="15" hidden="0" customHeight="1">
      <x:c r="A1070" s="17" t="n">
        <x:v>1070</x:v>
      </x:c>
      <x:c r="B1070" s="17" t="str">
        <x:v>OP-1289</x:v>
      </x:c>
      <x:c r="C1070" s="17" t="str">
        <x:v>OS-5862</x:v>
      </x:c>
      <x:c r="D1070" s="17" t="str">
        <x:v>2026-06-19 15:00:00</x:v>
      </x:c>
      <x:c r="E1070" s="17" t="str">
        <x:v>Johnson&amp;Johnson</x:v>
      </x:c>
      <x:c r="F1070" s="17" t="str">
        <x:v>Alberto Cardoso - +55 (12) 99629-4747</x:v>
      </x:c>
      <x:c r="G1070" s="17" t="str">
        <x:v>Concluído</x:v>
      </x:c>
      <x:c r="H1070" s="17" t="str">
        <x:v>Pago</x:v>
      </x:c>
      <x:c r="I1070" s="21" t="n">
        <x:v>139.58</x:v>
      </x:c>
    </x:row>
    <x:row r="1071" ht="15" hidden="0" customHeight="1">
      <x:c r="A1071" s="17" t="n">
        <x:v>1071</x:v>
      </x:c>
      <x:c r="B1071" s="17" t="str">
        <x:v>OP-1275</x:v>
      </x:c>
      <x:c r="C1071" s="17" t="str">
        <x:v>OS-5966</x:v>
      </x:c>
      <x:c r="D1071" s="17" t="str">
        <x:v>2026-06-19 16:00:00</x:v>
      </x:c>
      <x:c r="E1071" s="17" t="str">
        <x:v>Kenvue</x:v>
      </x:c>
      <x:c r="F1071" s="17" t="str">
        <x:v>Dashreen Kaur - +65 812 1144 6</x:v>
      </x:c>
      <x:c r="G1071" s="17" t="str">
        <x:v>Concluído</x:v>
      </x:c>
      <x:c r="H1071" s="17" t="str">
        <x:v>Pago</x:v>
      </x:c>
      <x:c r="I1071" s="21" t="n">
        <x:v>160.51</x:v>
      </x:c>
    </x:row>
    <x:row r="1072" ht="36" hidden="0" customHeight="1">
      <x:c r="A1072" s="17" t="n">
        <x:v>1072</x:v>
      </x:c>
      <x:c r="B1072" s="17" t="str">
        <x:v>OP-1267</x:v>
      </x:c>
      <x:c r="C1072" s="17" t="str">
        <x:v>OS-6045</x:v>
      </x:c>
      <x:c r="D1072" s="17" t="str">
        <x:v>2026-06-19 16:30:00</x:v>
      </x:c>
      <x:c r="E1072" s="17" t="str">
        <x:v>Johnson&amp;Johnson</x:v>
      </x:c>
      <x:c r="F1072" s="17" t="str">
        <x:v>Taifa Nyiendo - +1 (908) 933-8369-6;
Max Baumgartner - (26) 0418-3503;
Albert Liu - +1 (310) 462-6175</x:v>
      </x:c>
      <x:c r="G1072" s="17" t="str">
        <x:v>Concluído</x:v>
      </x:c>
      <x:c r="H1072" s="17" t="str">
        <x:v>Pago</x:v>
      </x:c>
      <x:c r="I1072" s="21" t="n">
        <x:v>740.14</x:v>
      </x:c>
    </x:row>
    <x:row r="1073" ht="15" hidden="0" customHeight="1">
      <x:c r="A1073" s="17" t="n">
        <x:v>1073</x:v>
      </x:c>
      <x:c r="B1073" s="17" t="str">
        <x:v>OP-1267</x:v>
      </x:c>
      <x:c r="C1073" s="17" t="str">
        <x:v>OS-6056</x:v>
      </x:c>
      <x:c r="D1073" s="17" t="str">
        <x:v>2026-06-19 17:00:00</x:v>
      </x:c>
      <x:c r="E1073" s="17" t="str">
        <x:v>Johnson&amp;Johnson</x:v>
      </x:c>
      <x:c r="F1073" s="17" t="str">
        <x:v>Albert Liu - +1 (310) 462-6175</x:v>
      </x:c>
      <x:c r="G1073" s="17" t="str">
        <x:v>Cancelado</x:v>
      </x:c>
      <x:c r="H1073" s="17" t="str">
        <x:v>Pago</x:v>
      </x:c>
      <x:c r="I1073" s="21" t="n">
        <x:v>0</x:v>
      </x:c>
    </x:row>
    <x:row r="1074" ht="15" hidden="0" customHeight="1">
      <x:c r="A1074" s="17" t="n">
        <x:v>1074</x:v>
      </x:c>
      <x:c r="B1074" s="17" t="str">
        <x:v>OP-1338</x:v>
      </x:c>
      <x:c r="C1074" s="17" t="str">
        <x:v>OS-6437</x:v>
      </x:c>
      <x:c r="D1074" s="17" t="str">
        <x:v>2026-06-19 17:20:00</x:v>
      </x:c>
      <x:c r="E1074" s="17" t="str">
        <x:v>Boeing</x:v>
      </x:c>
      <x:c r="F1074" s="17" t="str">
        <x:v>Cezar Franco - (12) 98106-7121</x:v>
      </x:c>
      <x:c r="G1074" s="17" t="str">
        <x:v>Concluído</x:v>
      </x:c>
      <x:c r="H1074" s="17" t="str">
        <x:v>Pagamento Pendente</x:v>
      </x:c>
      <x:c r="I1074" s="21" t="n">
        <x:v>396.05</x:v>
      </x:c>
    </x:row>
    <x:row r="1075" ht="15" hidden="0" customHeight="1">
      <x:c r="A1075" s="17" t="n">
        <x:v>1075</x:v>
      </x:c>
      <x:c r="B1075" s="17" t="str">
        <x:v>OP-1281</x:v>
      </x:c>
      <x:c r="C1075" s="17" t="str">
        <x:v>OS-6079</x:v>
      </x:c>
      <x:c r="D1075" s="17" t="str">
        <x:v>2026-06-20 01:50:00</x:v>
      </x:c>
      <x:c r="E1075" s="17" t="str">
        <x:v>Johnson&amp;Johnson</x:v>
      </x:c>
      <x:c r="F1075" s="17" t="str">
        <x:v>Fernando Santos Rodrigues - +55 (12) 99102-3546</x:v>
      </x:c>
      <x:c r="G1075" s="17" t="str">
        <x:v>Concluído</x:v>
      </x:c>
      <x:c r="H1075" s="17" t="str">
        <x:v>Pago</x:v>
      </x:c>
      <x:c r="I1075" s="21" t="n">
        <x:v>670.49</x:v>
      </x:c>
    </x:row>
    <x:row r="1076" ht="15" hidden="0" customHeight="1">
      <x:c r="A1076" s="17" t="n">
        <x:v>1076</x:v>
      </x:c>
      <x:c r="B1076" s="17" t="str">
        <x:v>OP-1276</x:v>
      </x:c>
      <x:c r="C1076" s="17" t="str">
        <x:v>OS-5675</x:v>
      </x:c>
      <x:c r="D1076" s="17" t="str">
        <x:v>2026-06-20 04:50:00</x:v>
      </x:c>
      <x:c r="E1076" s="17" t="str">
        <x:v>Johnson&amp;Johnson</x:v>
      </x:c>
      <x:c r="F1076" s="17" t="str">
        <x:v>Marcelo Moreira - (12) 99169-0099</x:v>
      </x:c>
      <x:c r="G1076" s="17" t="str">
        <x:v>Concluído</x:v>
      </x:c>
      <x:c r="H1076" s="17" t="str">
        <x:v>Pago</x:v>
      </x:c>
      <x:c r="I1076" s="21" t="n">
        <x:v>509.98</x:v>
      </x:c>
    </x:row>
    <x:row r="1077" ht="24" hidden="0" customHeight="1">
      <x:c r="A1077" s="17" t="n">
        <x:v>1077</x:v>
      </x:c>
      <x:c r="B1077" s="17" t="str">
        <x:v>OP-1280</x:v>
      </x:c>
      <x:c r="C1077" s="17" t="str">
        <x:v>OS-6182</x:v>
      </x:c>
      <x:c r="D1077" s="17" t="str">
        <x:v>2026-06-20 05:15:00</x:v>
      </x:c>
      <x:c r="E1077" s="17" t="str">
        <x:v>Kenvue</x:v>
      </x:c>
      <x:c r="F1077" s="17" t="str">
        <x:v>Marcelle Rangel - +55 (12) 98172-3039;
Filippe Ugayama - +55 (12) 98126-4200</x:v>
      </x:c>
      <x:c r="G1077" s="17" t="str">
        <x:v>Concluído</x:v>
      </x:c>
      <x:c r="H1077" s="17" t="str">
        <x:v>Pagamento Pendente</x:v>
      </x:c>
      <x:c r="I1077" s="21" t="n">
        <x:v>545.23</x:v>
      </x:c>
    </x:row>
    <x:row r="1078" ht="15" hidden="0" customHeight="1">
      <x:c r="A1078" s="17" t="n">
        <x:v>1078</x:v>
      </x:c>
      <x:c r="B1078" s="17" t="str">
        <x:v>OP-1277</x:v>
      </x:c>
      <x:c r="C1078" s="17" t="str">
        <x:v>OS-5727</x:v>
      </x:c>
      <x:c r="D1078" s="17" t="str">
        <x:v>2026-06-20 06:30:00</x:v>
      </x:c>
      <x:c r="E1078" s="17" t="str">
        <x:v>Johnson&amp;Johnson</x:v>
      </x:c>
      <x:c r="F1078" s="17" t="str">
        <x:v>Mateus Montemor - +55 (12) 99614-9949</x:v>
      </x:c>
      <x:c r="G1078" s="17" t="str">
        <x:v>Concluído</x:v>
      </x:c>
      <x:c r="H1078" s="17" t="str">
        <x:v>Pago</x:v>
      </x:c>
      <x:c r="I1078" s="21" t="n">
        <x:v>558.86</x:v>
      </x:c>
    </x:row>
    <x:row r="1079" ht="15" hidden="0" customHeight="1">
      <x:c r="A1079" s="17" t="n">
        <x:v>1079</x:v>
      </x:c>
      <x:c r="B1079" s="17" t="str">
        <x:v>OP-1278</x:v>
      </x:c>
      <x:c r="C1079" s="17" t="str">
        <x:v>OS-5397</x:v>
      </x:c>
      <x:c r="D1079" s="17" t="str">
        <x:v>2026-06-20 08:00:00</x:v>
      </x:c>
      <x:c r="E1079" s="17" t="str">
        <x:v>Boeing</x:v>
      </x:c>
      <x:c r="F1079" s="17" t="str">
        <x:v>Frederico Marcelino - +55 31 9125-9285</x:v>
      </x:c>
      <x:c r="G1079" s="17" t="str">
        <x:v>Concluído</x:v>
      </x:c>
      <x:c r="H1079" s="17" t="str">
        <x:v>Pago</x:v>
      </x:c>
      <x:c r="I1079" s="21" t="n">
        <x:v>463.05</x:v>
      </x:c>
    </x:row>
    <x:row r="1080" ht="15" hidden="0" customHeight="1">
      <x:c r="A1080" s="17" t="n">
        <x:v>1080</x:v>
      </x:c>
      <x:c r="B1080" s="17" t="str">
        <x:v>OP-1320</x:v>
      </x:c>
      <x:c r="C1080" s="17" t="str">
        <x:v>OS-6170</x:v>
      </x:c>
      <x:c r="D1080" s="17" t="str">
        <x:v>2026-06-20 11:25:00</x:v>
      </x:c>
      <x:c r="E1080" s="17" t="str">
        <x:v>Kenvue</x:v>
      </x:c>
      <x:c r="F1080" s="17" t="str">
        <x:v>Maria Luz Menendez - +55 (11) 98294-6457</x:v>
      </x:c>
      <x:c r="G1080" s="17" t="str">
        <x:v>Concluído</x:v>
      </x:c>
      <x:c r="H1080" s="17" t="str">
        <x:v>Pago</x:v>
      </x:c>
      <x:c r="I1080" s="21" t="n">
        <x:v>780.56</x:v>
      </x:c>
    </x:row>
    <x:row r="1081" ht="24" hidden="0" customHeight="1">
      <x:c r="A1081" s="17" t="n">
        <x:v>1081</x:v>
      </x:c>
      <x:c r="B1081" s="17" t="str">
        <x:v>OP-1296</x:v>
      </x:c>
      <x:c r="C1081" s="17" t="str">
        <x:v>OS-6117</x:v>
      </x:c>
      <x:c r="D1081" s="17" t="str">
        <x:v>2026-06-20 13:30:00</x:v>
      </x:c>
      <x:c r="E1081" s="17" t="str">
        <x:v>Boeing</x:v>
      </x:c>
      <x:c r="F1081" s="17" t="str">
        <x:v>Jenner Cavalcanti Seixas - +55 (12) 98129-6657;
Rafael Eduardo Brenner - +55 (12) 98219-9515</x:v>
      </x:c>
      <x:c r="G1081" s="17" t="str">
        <x:v>Concluído</x:v>
      </x:c>
      <x:c r="H1081" s="17" t="str">
        <x:v>Pago</x:v>
      </x:c>
      <x:c r="I1081" s="21" t="n">
        <x:v>445.97</x:v>
      </x:c>
    </x:row>
    <x:row r="1082" ht="15" hidden="0" customHeight="1">
      <x:c r="A1082" s="17" t="n">
        <x:v>1082</x:v>
      </x:c>
      <x:c r="B1082" s="17" t="str">
        <x:v>OP-1268</x:v>
      </x:c>
      <x:c r="C1082" s="17" t="str">
        <x:v>OS-5705</x:v>
      </x:c>
      <x:c r="D1082" s="17" t="str">
        <x:v>2026-06-20 14:00:00</x:v>
      </x:c>
      <x:c r="E1082" s="17" t="str">
        <x:v>Kenvue</x:v>
      </x:c>
      <x:c r="F1082" s="17" t="str">
        <x:v>Sr. Arunava Banerjee - +1 (609) 553-5715</x:v>
      </x:c>
      <x:c r="G1082" s="17" t="str">
        <x:v>Concluído</x:v>
      </x:c>
      <x:c r="H1082" s="17" t="str">
        <x:v>Pago</x:v>
      </x:c>
      <x:c r="I1082" s="21" t="n">
        <x:v>429.35</x:v>
      </x:c>
    </x:row>
    <x:row r="1083" ht="15" hidden="0" customHeight="1">
      <x:c r="A1083" s="17" t="n">
        <x:v>1083</x:v>
      </x:c>
      <x:c r="B1083" s="17" t="str">
        <x:v>OP-1301</x:v>
      </x:c>
      <x:c r="C1083" s="17" t="str">
        <x:v>OS-6388</x:v>
      </x:c>
      <x:c r="D1083" s="17" t="str">
        <x:v>2026-06-20 17:00:00</x:v>
      </x:c>
      <x:c r="E1083" s="17" t="str">
        <x:v>Kenvue</x:v>
      </x:c>
      <x:c r="F1083" s="17" t="str">
        <x:v>Sara Albuquerque - +55 (12) 99655-0594</x:v>
      </x:c>
      <x:c r="G1083" s="17" t="str">
        <x:v>Concluído</x:v>
      </x:c>
      <x:c r="H1083" s="17" t="str">
        <x:v>Pago</x:v>
      </x:c>
      <x:c r="I1083" s="21" t="n">
        <x:v>429.35</x:v>
      </x:c>
    </x:row>
    <x:row r="1084" ht="15" hidden="0" customHeight="1">
      <x:c r="A1084" s="17" t="n">
        <x:v>1084</x:v>
      </x:c>
      <x:c r="B1084" s="17" t="str">
        <x:v>OP-1294</x:v>
      </x:c>
      <x:c r="C1084" s="17" t="str">
        <x:v>OS-6432</x:v>
      </x:c>
      <x:c r="D1084" s="17" t="str">
        <x:v>2026-06-20 17:30:00</x:v>
      </x:c>
      <x:c r="E1084" s="17" t="str">
        <x:v>Johnson&amp;Johnson</x:v>
      </x:c>
      <x:c r="F1084" s="17" t="str">
        <x:v>Aline Galdieri - +55 (12) 99165-5286</x:v>
      </x:c>
      <x:c r="G1084" s="17" t="str">
        <x:v>Concluído</x:v>
      </x:c>
      <x:c r="H1084" s="17" t="str">
        <x:v>Pago</x:v>
      </x:c>
      <x:c r="I1084" s="21" t="n">
        <x:v>442.98</x:v>
      </x:c>
    </x:row>
    <x:row r="1085" ht="36" hidden="0" customHeight="1">
      <x:c r="A1085" s="17" t="n">
        <x:v>1085</x:v>
      </x:c>
      <x:c r="B1085" s="17" t="str">
        <x:v>OP-1331</x:v>
      </x:c>
      <x:c r="C1085" s="17" t="str">
        <x:v>OS-6468</x:v>
      </x:c>
      <x:c r="D1085" s="17" t="str">
        <x:v>2026-06-20 17:45:00</x:v>
      </x:c>
      <x:c r="E1085" s="17" t="str">
        <x:v>Johnson&amp;Johnson</x:v>
      </x:c>
      <x:c r="F1085" s="17" t="str">
        <x:v>Diego Gonçalves da Silva - +55 (12) 98133-3381;
André Luis Ferreira dos Santos - +55 (12) 99782-6618;
Genésio Matias de Souza - (12) 99764-5159</x:v>
      </x:c>
      <x:c r="G1085" s="17" t="str">
        <x:v>Concluído</x:v>
      </x:c>
      <x:c r="H1085" s="17" t="str">
        <x:v>Pagamento Pendente</x:v>
      </x:c>
      <x:c r="I1085" s="21" t="n">
        <x:v>680.32</x:v>
      </x:c>
    </x:row>
    <x:row r="1086" ht="15" hidden="0" customHeight="1">
      <x:c r="A1086" s="17" t="n">
        <x:v>1086</x:v>
      </x:c>
      <x:c r="B1086" s="17" t="str">
        <x:v>OP-1275</x:v>
      </x:c>
      <x:c r="C1086" s="17" t="str">
        <x:v>OS-5947</x:v>
      </x:c>
      <x:c r="D1086" s="17" t="str">
        <x:v>2026-06-21 02:00:00</x:v>
      </x:c>
      <x:c r="E1086" s="17" t="str">
        <x:v>Kenvue</x:v>
      </x:c>
      <x:c r="F1086" s="17" t="str">
        <x:v>Dashreen Kaur - +65 812 1144 6</x:v>
      </x:c>
      <x:c r="G1086" s="17" t="str">
        <x:v>Concluído</x:v>
      </x:c>
      <x:c r="H1086" s="17" t="str">
        <x:v>Pago</x:v>
      </x:c>
      <x:c r="I1086" s="21" t="n">
        <x:v>509.42</x:v>
      </x:c>
    </x:row>
    <x:row r="1087" ht="15" hidden="0" customHeight="1">
      <x:c r="A1087" s="17" t="n">
        <x:v>1087</x:v>
      </x:c>
      <x:c r="B1087" s="17" t="str">
        <x:v>OP-1279</x:v>
      </x:c>
      <x:c r="C1087" s="17" t="str">
        <x:v>OS-6040</x:v>
      </x:c>
      <x:c r="D1087" s="17" t="str">
        <x:v>2026-06-21 09:35:00</x:v>
      </x:c>
      <x:c r="E1087" s="17" t="str">
        <x:v>Boeing</x:v>
      </x:c>
      <x:c r="F1087" s="17" t="str">
        <x:v>Raul Rene Valle Agostini - +55 (12) 99760-2106</x:v>
      </x:c>
      <x:c r="G1087" s="17" t="str">
        <x:v>Concluído</x:v>
      </x:c>
      <x:c r="H1087" s="17" t="str">
        <x:v>Pago</x:v>
      </x:c>
      <x:c r="I1087" s="21" t="n">
        <x:v>463.05</x:v>
      </x:c>
    </x:row>
    <x:row r="1088" ht="15" hidden="0" customHeight="1">
      <x:c r="A1088" s="17" t="n">
        <x:v>1088</x:v>
      </x:c>
      <x:c r="B1088" s="17" t="str">
        <x:v>OP-1286</x:v>
      </x:c>
      <x:c r="C1088" s="17" t="str">
        <x:v>OS-6384</x:v>
      </x:c>
      <x:c r="D1088" s="17" t="str">
        <x:v>2026-06-21 12:00:00</x:v>
      </x:c>
      <x:c r="E1088" s="17" t="str">
        <x:v>Johnson&amp;Johnson</x:v>
      </x:c>
      <x:c r="F1088" s="17" t="str">
        <x:v>Albert Liu - +1 (310) 462-6175</x:v>
      </x:c>
      <x:c r="G1088" s="17" t="str">
        <x:v>Concluído</x:v>
      </x:c>
      <x:c r="H1088" s="17" t="str">
        <x:v>Pago</x:v>
      </x:c>
      <x:c r="I1088" s="21" t="n">
        <x:v>576.42</x:v>
      </x:c>
    </x:row>
    <x:row r="1089" ht="15" hidden="0" customHeight="1">
      <x:c r="A1089" s="17" t="n">
        <x:v>1089</x:v>
      </x:c>
      <x:c r="B1089" s="17" t="str">
        <x:v>OP-1298</x:v>
      </x:c>
      <x:c r="C1089" s="17" t="str">
        <x:v>OS-6512</x:v>
      </x:c>
      <x:c r="D1089" s="17" t="str">
        <x:v>2026-06-21 17:00:00</x:v>
      </x:c>
      <x:c r="E1089" s="17" t="str">
        <x:v>Johnson&amp;Johnson</x:v>
      </x:c>
      <x:c r="F1089" s="17" t="str">
        <x:v>Marcos Vinicius dos Santos - (12) 99783-8214</x:v>
      </x:c>
      <x:c r="G1089" s="17" t="str">
        <x:v>Concluído</x:v>
      </x:c>
      <x:c r="H1089" s="17" t="str">
        <x:v>Pago</x:v>
      </x:c>
      <x:c r="I1089" s="21" t="n">
        <x:v>491.86</x:v>
      </x:c>
    </x:row>
    <x:row r="1090" ht="15" hidden="0" customHeight="1">
      <x:c r="A1090" s="17" t="n">
        <x:v>1090</x:v>
      </x:c>
      <x:c r="B1090" s="17" t="str">
        <x:v>OP-1292</x:v>
      </x:c>
      <x:c r="C1090" s="17" t="str">
        <x:v>OS-6074</x:v>
      </x:c>
      <x:c r="D1090" s="17" t="str">
        <x:v>2026-06-21 19:00:00</x:v>
      </x:c>
      <x:c r="E1090" s="17" t="str">
        <x:v>Johnson&amp;Johnson</x:v>
      </x:c>
      <x:c r="F1090" s="17" t="str">
        <x:v>Reza Rahimi - +1 (858) 466-9322</x:v>
      </x:c>
      <x:c r="G1090" s="17" t="str">
        <x:v>Concluído</x:v>
      </x:c>
      <x:c r="H1090" s="17" t="str">
        <x:v>Pago</x:v>
      </x:c>
      <x:c r="I1090" s="21" t="n">
        <x:v>780.56</x:v>
      </x:c>
    </x:row>
    <x:row r="1091" ht="15" hidden="0" customHeight="1">
      <x:c r="A1091" s="17" t="n">
        <x:v>1091</x:v>
      </x:c>
      <x:c r="B1091" s="17" t="str">
        <x:v>OP-1304</x:v>
      </x:c>
      <x:c r="C1091" s="17" t="str">
        <x:v>OS-6518</x:v>
      </x:c>
      <x:c r="D1091" s="17" t="str">
        <x:v>2026-06-22 05:30:00</x:v>
      </x:c>
      <x:c r="E1091" s="17" t="str">
        <x:v>Mckinsey</x:v>
      </x:c>
      <x:c r="F1091" s="17" t="str">
        <x:v>Willian Bezerra - indeterminado</x:v>
      </x:c>
      <x:c r="G1091" s="17" t="str">
        <x:v>Concluído</x:v>
      </x:c>
      <x:c r="H1091" s="17" t="str">
        <x:v>Pago</x:v>
      </x:c>
      <x:c r="I1091" s="21" t="n">
        <x:v>713.56</x:v>
      </x:c>
    </x:row>
    <x:row r="1092" ht="15" hidden="0" customHeight="1">
      <x:c r="A1092" s="17" t="n">
        <x:v>1092</x:v>
      </x:c>
      <x:c r="B1092" s="17" t="str">
        <x:v>OP-1286</x:v>
      </x:c>
      <x:c r="C1092" s="17" t="str">
        <x:v>OS-6052</x:v>
      </x:c>
      <x:c r="D1092" s="17" t="str">
        <x:v>2026-06-22 07:30:00</x:v>
      </x:c>
      <x:c r="E1092" s="17" t="str">
        <x:v>Johnson&amp;Johnson</x:v>
      </x:c>
      <x:c r="F1092" s="17" t="str">
        <x:v>Albert Liu - +1 (310) 462-6175</x:v>
      </x:c>
      <x:c r="G1092" s="17" t="str">
        <x:v>Concluído</x:v>
      </x:c>
      <x:c r="H1092" s="17" t="str">
        <x:v>Pago</x:v>
      </x:c>
      <x:c r="I1092" s="21" t="n">
        <x:v>174.51</x:v>
      </x:c>
    </x:row>
    <x:row r="1093" ht="15" hidden="0" customHeight="1">
      <x:c r="A1093" s="17" t="n">
        <x:v>1093</x:v>
      </x:c>
      <x:c r="B1093" s="17" t="str">
        <x:v>OP-1320</x:v>
      </x:c>
      <x:c r="C1093" s="17" t="str">
        <x:v>OS-6172</x:v>
      </x:c>
      <x:c r="D1093" s="17" t="str">
        <x:v>2026-06-22 08:00:00</x:v>
      </x:c>
      <x:c r="E1093" s="17" t="str">
        <x:v>Kenvue</x:v>
      </x:c>
      <x:c r="F1093" s="17" t="str">
        <x:v>Maria Luz Menendez - +55 (11) 98294-6457</x:v>
      </x:c>
      <x:c r="G1093" s="17" t="str">
        <x:v>Concluído</x:v>
      </x:c>
      <x:c r="H1093" s="17" t="str">
        <x:v>Pago</x:v>
      </x:c>
      <x:c r="I1093" s="21" t="n">
        <x:v>494.88</x:v>
      </x:c>
    </x:row>
    <x:row r="1094" ht="15" hidden="0" customHeight="1">
      <x:c r="A1094" s="17" t="n">
        <x:v>1094</x:v>
      </x:c>
      <x:c r="B1094" s="17" t="str">
        <x:v>OP-1289</x:v>
      </x:c>
      <x:c r="C1094" s="17" t="str">
        <x:v>OS-5819</x:v>
      </x:c>
      <x:c r="D1094" s="17" t="str">
        <x:v>2026-06-22 08:30:00</x:v>
      </x:c>
      <x:c r="E1094" s="17" t="str">
        <x:v>Johnson&amp;Johnson</x:v>
      </x:c>
      <x:c r="F1094" s="17" t="str">
        <x:v>Alberto Cardoso - +55 (12) 99629-4747</x:v>
      </x:c>
      <x:c r="G1094" s="17" t="str">
        <x:v>Concluído</x:v>
      </x:c>
      <x:c r="H1094" s="17" t="str">
        <x:v>Pago</x:v>
      </x:c>
      <x:c r="I1094" s="21" t="n">
        <x:v>139.58</x:v>
      </x:c>
    </x:row>
    <x:row r="1095" ht="15" hidden="0" customHeight="1">
      <x:c r="A1095" s="17" t="n">
        <x:v>1095</x:v>
      </x:c>
      <x:c r="B1095" s="17" t="str">
        <x:v>OP-1304</x:v>
      </x:c>
      <x:c r="C1095" s="17" t="str">
        <x:v>OS-6521</x:v>
      </x:c>
      <x:c r="D1095" s="17" t="str">
        <x:v>2026-06-22 09:00:00</x:v>
      </x:c>
      <x:c r="E1095" s="17" t="str">
        <x:v>Mckinsey</x:v>
      </x:c>
      <x:c r="F1095" s="17" t="str">
        <x:v>Mahsa Galiani - indeterminado</x:v>
      </x:c>
      <x:c r="G1095" s="17" t="str">
        <x:v>Concluído</x:v>
      </x:c>
      <x:c r="H1095" s="17" t="str">
        <x:v>Pago</x:v>
      </x:c>
      <x:c r="I1095" s="21" t="n">
        <x:v>576.42</x:v>
      </x:c>
    </x:row>
    <x:row r="1096" ht="15" hidden="0" customHeight="1">
      <x:c r="A1096" s="17" t="n">
        <x:v>1096</x:v>
      </x:c>
      <x:c r="B1096" s="17" t="str">
        <x:v>OP-1291</x:v>
      </x:c>
      <x:c r="C1096" s="17" t="str">
        <x:v>OS-6403</x:v>
      </x:c>
      <x:c r="D1096" s="17" t="str">
        <x:v>2026-06-22 14:20:00</x:v>
      </x:c>
      <x:c r="E1096" s="17" t="str">
        <x:v>Kenvue</x:v>
      </x:c>
      <x:c r="F1096" s="17" t="str">
        <x:v>Guillermo Tsujioka - indeterminado</x:v>
      </x:c>
      <x:c r="G1096" s="17" t="str">
        <x:v>Concluído</x:v>
      </x:c>
      <x:c r="H1096" s="17" t="str">
        <x:v>Pago</x:v>
      </x:c>
      <x:c r="I1096" s="21" t="n">
        <x:v>496.35</x:v>
      </x:c>
    </x:row>
    <x:row r="1097" ht="15" hidden="0" customHeight="1">
      <x:c r="A1097" s="17" t="n">
        <x:v>1097</x:v>
      </x:c>
      <x:c r="B1097" s="17" t="str">
        <x:v>OP-1289</x:v>
      </x:c>
      <x:c r="C1097" s="17" t="str">
        <x:v>OS-5863</x:v>
      </x:c>
      <x:c r="D1097" s="17" t="str">
        <x:v>2026-06-22 15:30:00</x:v>
      </x:c>
      <x:c r="E1097" s="17" t="str">
        <x:v>Johnson&amp;Johnson</x:v>
      </x:c>
      <x:c r="F1097" s="17" t="str">
        <x:v>Alberto Cardoso - +55 (12) 99629-4747</x:v>
      </x:c>
      <x:c r="G1097" s="17" t="str">
        <x:v>Concluído</x:v>
      </x:c>
      <x:c r="H1097" s="17" t="str">
        <x:v>Pago</x:v>
      </x:c>
      <x:c r="I1097" s="21" t="n">
        <x:v>139.58</x:v>
      </x:c>
    </x:row>
    <x:row r="1098" ht="15" hidden="0" customHeight="1">
      <x:c r="A1098" s="17" t="n">
        <x:v>1098</x:v>
      </x:c>
      <x:c r="B1098" s="17" t="str">
        <x:v>OP-1290</x:v>
      </x:c>
      <x:c r="C1098" s="17" t="str">
        <x:v>OS-6399</x:v>
      </x:c>
      <x:c r="D1098" s="17" t="str">
        <x:v>2026-06-22 16:00:00</x:v>
      </x:c>
      <x:c r="E1098" s="17" t="str">
        <x:v>Kenvue</x:v>
      </x:c>
      <x:c r="F1098" s="17" t="str">
        <x:v>Andrea Alvarez - +57 300 266 6911</x:v>
      </x:c>
      <x:c r="G1098" s="17" t="str">
        <x:v>Concluído</x:v>
      </x:c>
      <x:c r="H1098" s="17" t="str">
        <x:v>Pago</x:v>
      </x:c>
      <x:c r="I1098" s="21" t="n">
        <x:v>496.35</x:v>
      </x:c>
    </x:row>
    <x:row r="1099" ht="36" hidden="0" customHeight="1">
      <x:c r="A1099" s="17" t="n">
        <x:v>1099</x:v>
      </x:c>
      <x:c r="B1099" s="17" t="str">
        <x:v>OP-1286</x:v>
      </x:c>
      <x:c r="C1099" s="17" t="str">
        <x:v>OS-6057</x:v>
      </x:c>
      <x:c r="D1099" s="17" t="str">
        <x:v>2026-06-22 17:00:00</x:v>
      </x:c>
      <x:c r="E1099" s="17" t="str">
        <x:v>Johnson&amp;Johnson</x:v>
      </x:c>
      <x:c r="F1099" s="17" t="str">
        <x:v>Albert Liu - +1 (310) 462-6175;
Taifa Nyiendo - +1 (908) 933-8369-6;
Max Baumgartner - (26) 0418-3503</x:v>
      </x:c>
      <x:c r="G1099" s="17" t="str">
        <x:v>Concluído</x:v>
      </x:c>
      <x:c r="H1099" s="17" t="str">
        <x:v>Pago</x:v>
      </x:c>
      <x:c r="I1099" s="21" t="n">
        <x:v>706.37</x:v>
      </x:c>
    </x:row>
    <x:row r="1100" ht="15" hidden="0" customHeight="1">
      <x:c r="A1100" s="17" t="n">
        <x:v>1100</x:v>
      </x:c>
      <x:c r="B1100" s="17" t="str">
        <x:v>OP-1304</x:v>
      </x:c>
      <x:c r="C1100" s="17" t="str">
        <x:v>OS-6545</x:v>
      </x:c>
      <x:c r="D1100" s="17" t="str">
        <x:v>2026-06-22 17:25:00</x:v>
      </x:c>
      <x:c r="E1100" s="17" t="str">
        <x:v>Mckinsey</x:v>
      </x:c>
      <x:c r="F1100" s="17" t="str">
        <x:v>Ingrid Millan - indeterminado</x:v>
      </x:c>
      <x:c r="G1100" s="17" t="str">
        <x:v>Concluído</x:v>
      </x:c>
      <x:c r="H1100" s="17" t="str">
        <x:v>Pago</x:v>
      </x:c>
      <x:c r="I1100" s="21" t="n">
        <x:v>576.42</x:v>
      </x:c>
    </x:row>
    <x:row r="1101" ht="15" hidden="0" customHeight="1">
      <x:c r="A1101" s="17" t="n">
        <x:v>1101</x:v>
      </x:c>
      <x:c r="B1101" s="17" t="str">
        <x:v>OP-1320</x:v>
      </x:c>
      <x:c r="C1101" s="17" t="str">
        <x:v>OS-6176</x:v>
      </x:c>
      <x:c r="D1101" s="17" t="str">
        <x:v>2026-06-22 18:00:00</x:v>
      </x:c>
      <x:c r="E1101" s="17" t="str">
        <x:v>Kenvue</x:v>
      </x:c>
      <x:c r="F1101" s="17" t="str">
        <x:v>Maria Luz Menendez - +55 (11) 98294-6457</x:v>
      </x:c>
      <x:c r="G1101" s="17" t="str">
        <x:v>Concluído</x:v>
      </x:c>
      <x:c r="H1101" s="17" t="str">
        <x:v>Pago</x:v>
      </x:c>
      <x:c r="I1101" s="21" t="n">
        <x:v>494.88</x:v>
      </x:c>
    </x:row>
    <x:row r="1102" ht="15" hidden="0" customHeight="1">
      <x:c r="A1102" s="17" t="n">
        <x:v>1102</x:v>
      </x:c>
      <x:c r="B1102" s="17" t="str">
        <x:v>OP-1299</x:v>
      </x:c>
      <x:c r="C1102" s="17" t="str">
        <x:v>OS-6161</x:v>
      </x:c>
      <x:c r="D1102" s="17" t="str">
        <x:v>2026-06-22 21:30:00</x:v>
      </x:c>
      <x:c r="E1102" s="17" t="str">
        <x:v>Johnson&amp;Johnson</x:v>
      </x:c>
      <x:c r="F1102" s="17" t="str">
        <x:v>Fernanda Pedrosa Runha - +55 (12) 98122-8335</x:v>
      </x:c>
      <x:c r="G1102" s="17" t="str">
        <x:v>Concluído</x:v>
      </x:c>
      <x:c r="H1102" s="17" t="str">
        <x:v>Pago</x:v>
      </x:c>
      <x:c r="I1102" s="21" t="n">
        <x:v>442.98</x:v>
      </x:c>
    </x:row>
    <x:row r="1103" ht="15" hidden="0" customHeight="1">
      <x:c r="A1103" s="17" t="n">
        <x:v>1103</x:v>
      </x:c>
      <x:c r="B1103" s="17" t="str">
        <x:v>OP-1303</x:v>
      </x:c>
      <x:c r="C1103" s="17" t="str">
        <x:v>OS-6471</x:v>
      </x:c>
      <x:c r="D1103" s="17" t="str">
        <x:v>2026-06-23 05:00:00</x:v>
      </x:c>
      <x:c r="E1103" s="17" t="str">
        <x:v>Ball Corporation</x:v>
      </x:c>
      <x:c r="F1103" s="17" t="str">
        <x:v>Júlia Cordeiro - (12) 99763-5779</x:v>
      </x:c>
      <x:c r="G1103" s="17" t="str">
        <x:v>Concluído</x:v>
      </x:c>
      <x:c r="H1103" s="17" t="str">
        <x:v>Pago</x:v>
      </x:c>
      <x:c r="I1103" s="21" t="n">
        <x:v>356</x:v>
      </x:c>
    </x:row>
    <x:row r="1104" ht="15" hidden="0" customHeight="1">
      <x:c r="A1104" s="17" t="n">
        <x:v>1104</x:v>
      </x:c>
      <x:c r="B1104" s="17" t="str">
        <x:v>OP-1295</x:v>
      </x:c>
      <x:c r="C1104" s="17" t="str">
        <x:v>OS-6082</x:v>
      </x:c>
      <x:c r="D1104" s="17" t="str">
        <x:v>2026-06-23 06:00:00</x:v>
      </x:c>
      <x:c r="E1104" s="17" t="str">
        <x:v>Boeing</x:v>
      </x:c>
      <x:c r="F1104" s="17" t="str">
        <x:v>Frederico Marcelino - +55 (31) 9125-9285</x:v>
      </x:c>
      <x:c r="G1104" s="17" t="str">
        <x:v>Concluído</x:v>
      </x:c>
      <x:c r="H1104" s="17" t="str">
        <x:v>Pago</x:v>
      </x:c>
      <x:c r="I1104" s="21" t="n">
        <x:v>787.23</x:v>
      </x:c>
    </x:row>
    <x:row r="1105" ht="36" hidden="0" customHeight="1">
      <x:c r="A1105" s="17" t="n">
        <x:v>1105</x:v>
      </x:c>
      <x:c r="B1105" s="17" t="str">
        <x:v>OP-1286</x:v>
      </x:c>
      <x:c r="C1105" s="17" t="str">
        <x:v>OS-6053</x:v>
      </x:c>
      <x:c r="D1105" s="17" t="str">
        <x:v>2026-06-23 07:30:00</x:v>
      </x:c>
      <x:c r="E1105" s="17" t="str">
        <x:v>Johnson&amp;Johnson</x:v>
      </x:c>
      <x:c r="F1105" s="17" t="str">
        <x:v>Albert Liu - +1 (310) 462-6175;
Taifa Nyiendo - +1 (908) 933-8369-6;
Max Baumgartner - (26) 0418-3503</x:v>
      </x:c>
      <x:c r="G1105" s="17" t="str">
        <x:v>Concluído</x:v>
      </x:c>
      <x:c r="H1105" s="17" t="str">
        <x:v>Pago</x:v>
      </x:c>
      <x:c r="I1105" s="21" t="n">
        <x:v>174.51</x:v>
      </x:c>
    </x:row>
    <x:row r="1106" ht="15" hidden="0" customHeight="1">
      <x:c r="A1106" s="17" t="n">
        <x:v>1106</x:v>
      </x:c>
      <x:c r="B1106" s="17" t="str">
        <x:v>OP-1320</x:v>
      </x:c>
      <x:c r="C1106" s="17" t="str">
        <x:v>OS-6177</x:v>
      </x:c>
      <x:c r="D1106" s="17" t="str">
        <x:v>2026-06-23 08:00:00</x:v>
      </x:c>
      <x:c r="E1106" s="17" t="str">
        <x:v>Kenvue</x:v>
      </x:c>
      <x:c r="F1106" s="17" t="str">
        <x:v>Maria Luz Menendez - +55 (11) 98294-6457</x:v>
      </x:c>
      <x:c r="G1106" s="17" t="str">
        <x:v>Concluído</x:v>
      </x:c>
      <x:c r="H1106" s="17" t="str">
        <x:v>Pago</x:v>
      </x:c>
      <x:c r="I1106" s="21" t="n">
        <x:v>494.88</x:v>
      </x:c>
    </x:row>
    <x:row r="1107" ht="15" hidden="0" customHeight="1">
      <x:c r="A1107" s="17" t="n">
        <x:v>1107</x:v>
      </x:c>
      <x:c r="B1107" s="17" t="str">
        <x:v>OP-1290</x:v>
      </x:c>
      <x:c r="C1107" s="17" t="str">
        <x:v>OS-6617</x:v>
      </x:c>
      <x:c r="D1107" s="17" t="str">
        <x:v>2026-06-23 08:15:00</x:v>
      </x:c>
      <x:c r="E1107" s="17" t="str">
        <x:v>Kenvue</x:v>
      </x:c>
      <x:c r="F1107" s="17" t="str">
        <x:v>Andrea Alvarez - +57 300 266 6911</x:v>
      </x:c>
      <x:c r="G1107" s="17" t="str">
        <x:v>Concluído</x:v>
      </x:c>
      <x:c r="H1107" s="17" t="str">
        <x:v>Pago</x:v>
      </x:c>
      <x:c r="I1107" s="21" t="n">
        <x:v>174.51</x:v>
      </x:c>
    </x:row>
    <x:row r="1108" ht="15" hidden="0" customHeight="1">
      <x:c r="A1108" s="17" t="n">
        <x:v>1108</x:v>
      </x:c>
      <x:c r="B1108" s="17" t="str">
        <x:v>OP-1289</x:v>
      </x:c>
      <x:c r="C1108" s="17" t="str">
        <x:v>OS-5820</x:v>
      </x:c>
      <x:c r="D1108" s="17" t="str">
        <x:v>2026-06-23 08:30:00</x:v>
      </x:c>
      <x:c r="E1108" s="17" t="str">
        <x:v>Johnson&amp;Johnson</x:v>
      </x:c>
      <x:c r="F1108" s="17" t="str">
        <x:v>Alberto Cardoso - +55 (12) 99629-4747</x:v>
      </x:c>
      <x:c r="G1108" s="17" t="str">
        <x:v>Concluído</x:v>
      </x:c>
      <x:c r="H1108" s="17" t="str">
        <x:v>Pago</x:v>
      </x:c>
      <x:c r="I1108" s="21" t="n">
        <x:v>139.58</x:v>
      </x:c>
    </x:row>
    <x:row r="1109" ht="15" hidden="0" customHeight="1">
      <x:c r="A1109" s="17" t="n">
        <x:v>1109</x:v>
      </x:c>
      <x:c r="B1109" s="17" t="str">
        <x:v>OP-1288</x:v>
      </x:c>
      <x:c r="C1109" s="17" t="str">
        <x:v>OS-5769</x:v>
      </x:c>
      <x:c r="D1109" s="17" t="str">
        <x:v>2026-06-23 09:30:00</x:v>
      </x:c>
      <x:c r="E1109" s="17" t="str">
        <x:v>Boeing</x:v>
      </x:c>
      <x:c r="F1109" s="17" t="str">
        <x:v>Victor Fukushima - +55 (12) 98214-0275</x:v>
      </x:c>
      <x:c r="G1109" s="17" t="str">
        <x:v>Concluído</x:v>
      </x:c>
      <x:c r="H1109" s="17" t="str">
        <x:v>Composição Realizada</x:v>
      </x:c>
      <x:c r="I1109" s="21" t="n">
        <x:v>463.05</x:v>
      </x:c>
    </x:row>
    <x:row r="1110" ht="15" hidden="0" customHeight="1">
      <x:c r="A1110" s="17" t="n">
        <x:v>1110</x:v>
      </x:c>
      <x:c r="B1110" s="17" t="str">
        <x:v>OP-1289</x:v>
      </x:c>
      <x:c r="C1110" s="17" t="str">
        <x:v>OS-5864</x:v>
      </x:c>
      <x:c r="D1110" s="17" t="str">
        <x:v>2026-06-23 15:30:00</x:v>
      </x:c>
      <x:c r="E1110" s="17" t="str">
        <x:v>Johnson&amp;Johnson</x:v>
      </x:c>
      <x:c r="F1110" s="17" t="str">
        <x:v>Alberto Cardoso - +55 (12) 99629-4747</x:v>
      </x:c>
      <x:c r="G1110" s="17" t="str">
        <x:v>Concluído</x:v>
      </x:c>
      <x:c r="H1110" s="17" t="str">
        <x:v>Pago</x:v>
      </x:c>
      <x:c r="I1110" s="21" t="n">
        <x:v>139.58</x:v>
      </x:c>
    </x:row>
    <x:row r="1111" ht="15" hidden="0" customHeight="1">
      <x:c r="A1111" s="17" t="n">
        <x:v>1111</x:v>
      </x:c>
      <x:c r="B1111" s="17" t="str">
        <x:v>OP-1286</x:v>
      </x:c>
      <x:c r="C1111" s="17" t="str">
        <x:v>OS-6044</x:v>
      </x:c>
      <x:c r="D1111" s="17" t="str">
        <x:v>2026-06-23 16:30:00</x:v>
      </x:c>
      <x:c r="E1111" s="17" t="str">
        <x:v>Johnson&amp;Johnson</x:v>
      </x:c>
      <x:c r="F1111" s="17" t="str">
        <x:v>Albert Liu - +1 (310) 462-6175</x:v>
      </x:c>
      <x:c r="G1111" s="17" t="str">
        <x:v>Concluído</x:v>
      </x:c>
      <x:c r="H1111" s="17" t="str">
        <x:v>Pago</x:v>
      </x:c>
      <x:c r="I1111" s="21" t="n">
        <x:v>509.42</x:v>
      </x:c>
    </x:row>
    <x:row r="1112" ht="15" hidden="0" customHeight="1">
      <x:c r="A1112" s="17" t="n">
        <x:v>1112</x:v>
      </x:c>
      <x:c r="B1112" s="17" t="str">
        <x:v>OP-1302</x:v>
      </x:c>
      <x:c r="C1112" s="17" t="str">
        <x:v>OS-6553</x:v>
      </x:c>
      <x:c r="D1112" s="17" t="str">
        <x:v>2026-06-23 16:30:00</x:v>
      </x:c>
      <x:c r="E1112" s="17" t="str">
        <x:v>Kenvue</x:v>
      </x:c>
      <x:c r="F1112" s="17" t="str">
        <x:v>Sergio Silva - +55 (12) 99147-5745</x:v>
      </x:c>
      <x:c r="G1112" s="17" t="str">
        <x:v>Concluído</x:v>
      </x:c>
      <x:c r="H1112" s="17" t="str">
        <x:v>Pago</x:v>
      </x:c>
      <x:c r="I1112" s="21" t="n">
        <x:v>718.25</x:v>
      </x:c>
    </x:row>
    <x:row r="1113" ht="15" hidden="0" customHeight="1">
      <x:c r="A1113" s="17" t="n">
        <x:v>1113</x:v>
      </x:c>
      <x:c r="B1113" s="17" t="str">
        <x:v>OP-1320</x:v>
      </x:c>
      <x:c r="C1113" s="17" t="str">
        <x:v>OS-6173</x:v>
      </x:c>
      <x:c r="D1113" s="17" t="str">
        <x:v>2026-06-23 18:00:00</x:v>
      </x:c>
      <x:c r="E1113" s="17" t="str">
        <x:v>Kenvue</x:v>
      </x:c>
      <x:c r="F1113" s="17" t="str">
        <x:v>Maria Luz Menendez - +55 (11) 98294-6457</x:v>
      </x:c>
      <x:c r="G1113" s="17" t="str">
        <x:v>Concluído</x:v>
      </x:c>
      <x:c r="H1113" s="17" t="str">
        <x:v>Pago</x:v>
      </x:c>
      <x:c r="I1113" s="21" t="n">
        <x:v>494.88</x:v>
      </x:c>
    </x:row>
    <x:row r="1114" ht="15" hidden="0" customHeight="1">
      <x:c r="A1114" s="17" t="n">
        <x:v>1114</x:v>
      </x:c>
      <x:c r="B1114" s="17" t="str">
        <x:v>OP-1292</x:v>
      </x:c>
      <x:c r="C1114" s="17" t="str">
        <x:v>OS-6077</x:v>
      </x:c>
      <x:c r="D1114" s="17" t="str">
        <x:v>2026-06-23 20:00:00</x:v>
      </x:c>
      <x:c r="E1114" s="17" t="str">
        <x:v>Johnson&amp;Johnson</x:v>
      </x:c>
      <x:c r="F1114" s="17" t="str">
        <x:v>Reza Rahimi - +1 (858) 466-9322</x:v>
      </x:c>
      <x:c r="G1114" s="17" t="str">
        <x:v>Concluído</x:v>
      </x:c>
      <x:c r="H1114" s="17" t="str">
        <x:v>Pago</x:v>
      </x:c>
      <x:c r="I1114" s="21" t="n">
        <x:v>2380</x:v>
      </x:c>
    </x:row>
    <x:row r="1115" ht="15" hidden="0" customHeight="1">
      <x:c r="A1115" s="17" t="n">
        <x:v>1115</x:v>
      </x:c>
      <x:c r="B1115" s="17" t="str">
        <x:v>OP-1320</x:v>
      </x:c>
      <x:c r="C1115" s="17" t="str">
        <x:v>OS-6178</x:v>
      </x:c>
      <x:c r="D1115" s="17" t="str">
        <x:v>2026-06-24 08:00:00</x:v>
      </x:c>
      <x:c r="E1115" s="17" t="str">
        <x:v>Kenvue</x:v>
      </x:c>
      <x:c r="F1115" s="17" t="str">
        <x:v>Maria Luz Menendez - +55 (11) 98294-6457</x:v>
      </x:c>
      <x:c r="G1115" s="17" t="str">
        <x:v>Concluído</x:v>
      </x:c>
      <x:c r="H1115" s="17" t="str">
        <x:v>Pago</x:v>
      </x:c>
      <x:c r="I1115" s="21" t="n">
        <x:v>494.88</x:v>
      </x:c>
    </x:row>
    <x:row r="1116" ht="15" hidden="0" customHeight="1">
      <x:c r="A1116" s="17" t="n">
        <x:v>1116</x:v>
      </x:c>
      <x:c r="B1116" s="17" t="str">
        <x:v>OP-1289</x:v>
      </x:c>
      <x:c r="C1116" s="17" t="str">
        <x:v>OS-5821</x:v>
      </x:c>
      <x:c r="D1116" s="17" t="str">
        <x:v>2026-06-24 08:30:00</x:v>
      </x:c>
      <x:c r="E1116" s="17" t="str">
        <x:v>Johnson&amp;Johnson</x:v>
      </x:c>
      <x:c r="F1116" s="17" t="str">
        <x:v>Alberto Cardoso - +55 (12) 99629-4747</x:v>
      </x:c>
      <x:c r="G1116" s="17" t="str">
        <x:v>Concluído</x:v>
      </x:c>
      <x:c r="H1116" s="17" t="str">
        <x:v>Pago</x:v>
      </x:c>
      <x:c r="I1116" s="21" t="n">
        <x:v>139.58</x:v>
      </x:c>
    </x:row>
    <x:row r="1117" ht="15" hidden="0" customHeight="1">
      <x:c r="A1117" s="17" t="n">
        <x:v>1117</x:v>
      </x:c>
      <x:c r="B1117" s="17" t="str">
        <x:v>OP-1303</x:v>
      </x:c>
      <x:c r="C1117" s="17" t="str">
        <x:v>OS-6610</x:v>
      </x:c>
      <x:c r="D1117" s="17" t="str">
        <x:v>2026-06-24 11:45:00</x:v>
      </x:c>
      <x:c r="E1117" s="17" t="str">
        <x:v>Ball Corporation</x:v>
      </x:c>
      <x:c r="F1117" s="17" t="str">
        <x:v>Júlia Cordeiro - (12) 99763-5779</x:v>
      </x:c>
      <x:c r="G1117" s="17" t="str">
        <x:v>Concluído</x:v>
      </x:c>
      <x:c r="H1117" s="17" t="str">
        <x:v>Pago</x:v>
      </x:c>
      <x:c r="I1117" s="21" t="n">
        <x:v>898</x:v>
      </x:c>
    </x:row>
    <x:row r="1118" ht="15" hidden="0" customHeight="1">
      <x:c r="A1118" s="17" t="n">
        <x:v>1118</x:v>
      </x:c>
      <x:c r="B1118" s="17" t="str">
        <x:v>OP-1289</x:v>
      </x:c>
      <x:c r="C1118" s="17" t="str">
        <x:v>OS-5865</x:v>
      </x:c>
      <x:c r="D1118" s="17" t="str">
        <x:v>2026-06-24 15:30:00</x:v>
      </x:c>
      <x:c r="E1118" s="17" t="str">
        <x:v>Johnson&amp;Johnson</x:v>
      </x:c>
      <x:c r="F1118" s="17" t="str">
        <x:v>Alberto Cardoso - +55 (12) 99629-4747</x:v>
      </x:c>
      <x:c r="G1118" s="17" t="str">
        <x:v>Concluído</x:v>
      </x:c>
      <x:c r="H1118" s="17" t="str">
        <x:v>Pago</x:v>
      </x:c>
      <x:c r="I1118" s="21" t="n">
        <x:v>139.58</x:v>
      </x:c>
    </x:row>
    <x:row r="1119" ht="15" hidden="0" customHeight="1">
      <x:c r="A1119" s="17" t="n">
        <x:v>1119</x:v>
      </x:c>
      <x:c r="B1119" s="17" t="str">
        <x:v>OP-1320</x:v>
      </x:c>
      <x:c r="C1119" s="17" t="str">
        <x:v>OS-6174</x:v>
      </x:c>
      <x:c r="D1119" s="17" t="str">
        <x:v>2026-06-24 18:00:00</x:v>
      </x:c>
      <x:c r="E1119" s="17" t="str">
        <x:v>Kenvue</x:v>
      </x:c>
      <x:c r="F1119" s="17" t="str">
        <x:v>Maria Luz Menendez - +55 (11) 98294-6457</x:v>
      </x:c>
      <x:c r="G1119" s="17" t="str">
        <x:v>Concluído</x:v>
      </x:c>
      <x:c r="H1119" s="17" t="str">
        <x:v>Pago</x:v>
      </x:c>
      <x:c r="I1119" s="21" t="n">
        <x:v>494.88</x:v>
      </x:c>
    </x:row>
    <x:row r="1120" ht="15" hidden="0" customHeight="1">
      <x:c r="A1120" s="17" t="n">
        <x:v>1120</x:v>
      </x:c>
      <x:c r="B1120" s="17" t="str">
        <x:v>OP-1295</x:v>
      </x:c>
      <x:c r="C1120" s="17" t="str">
        <x:v>OS-6083</x:v>
      </x:c>
      <x:c r="D1120" s="17" t="str">
        <x:v>2026-06-25 05:00:00</x:v>
      </x:c>
      <x:c r="E1120" s="17" t="str">
        <x:v>Boeing</x:v>
      </x:c>
      <x:c r="F1120" s="17" t="str">
        <x:v>Frederico Marcelino - +55 (31) 9125-9285</x:v>
      </x:c>
      <x:c r="G1120" s="17" t="str">
        <x:v>Concluído</x:v>
      </x:c>
      <x:c r="H1120" s="17" t="str">
        <x:v>Pago</x:v>
      </x:c>
      <x:c r="I1120" s="21" t="n">
        <x:v>841.51</x:v>
      </x:c>
    </x:row>
    <x:row r="1121" ht="36" hidden="0" customHeight="1">
      <x:c r="A1121" s="17" t="n">
        <x:v>1121</x:v>
      </x:c>
      <x:c r="B1121" s="17" t="str">
        <x:v>OP-1313</x:v>
      </x:c>
      <x:c r="C1121" s="17" t="str">
        <x:v>OS-6391</x:v>
      </x:c>
      <x:c r="D1121" s="17" t="str">
        <x:v>2026-06-25 06:00:00</x:v>
      </x:c>
      <x:c r="E1121" s="17" t="str">
        <x:v>Johnson&amp;Johnson</x:v>
      </x:c>
      <x:c r="F1121" s="17" t="str">
        <x:v>Cibele Kita - indeterminado;
Andreia da Costa Barros - (12) 99185-1114;
Rebeca Anne de Oliveira - (12) 98147-4011</x:v>
      </x:c>
      <x:c r="G1121" s="17" t="str">
        <x:v>Concluído</x:v>
      </x:c>
      <x:c r="H1121" s="17" t="str">
        <x:v>Pagamento Pendente</x:v>
      </x:c>
      <x:c r="I1121" s="21" t="n">
        <x:v>1290.69</x:v>
      </x:c>
    </x:row>
    <x:row r="1122" ht="15" hidden="0" customHeight="1">
      <x:c r="A1122" s="17" t="n">
        <x:v>1122</x:v>
      </x:c>
      <x:c r="B1122" s="17" t="str">
        <x:v>OP-1320</x:v>
      </x:c>
      <x:c r="C1122" s="17" t="str">
        <x:v>OS-6175</x:v>
      </x:c>
      <x:c r="D1122" s="17" t="str">
        <x:v>2026-06-25 08:00:00</x:v>
      </x:c>
      <x:c r="E1122" s="17" t="str">
        <x:v>Kenvue</x:v>
      </x:c>
      <x:c r="F1122" s="17" t="str">
        <x:v>Maria Luz Menendez - +55 (11) 98294-6457</x:v>
      </x:c>
      <x:c r="G1122" s="17" t="str">
        <x:v>Concluído</x:v>
      </x:c>
      <x:c r="H1122" s="17" t="str">
        <x:v>Pago</x:v>
      </x:c>
      <x:c r="I1122" s="21" t="n">
        <x:v>494.88</x:v>
      </x:c>
    </x:row>
    <x:row r="1123" ht="15" hidden="0" customHeight="1">
      <x:c r="A1123" s="17" t="n">
        <x:v>1123</x:v>
      </x:c>
      <x:c r="B1123" s="17" t="str">
        <x:v>OP-1303</x:v>
      </x:c>
      <x:c r="C1123" s="17" t="str">
        <x:v>OS-6479</x:v>
      </x:c>
      <x:c r="D1123" s="17" t="str">
        <x:v>2026-06-25 08:00:00</x:v>
      </x:c>
      <x:c r="E1123" s="17" t="str">
        <x:v>Ball Corporation</x:v>
      </x:c>
      <x:c r="F1123" s="17" t="str">
        <x:v>Júlia Cordeiro - (12) 99763-5779</x:v>
      </x:c>
      <x:c r="G1123" s="17" t="str">
        <x:v>Concluído</x:v>
      </x:c>
      <x:c r="H1123" s="17" t="str">
        <x:v>Pago</x:v>
      </x:c>
      <x:c r="I1123" s="21" t="n">
        <x:v>2751.03</x:v>
      </x:c>
    </x:row>
    <x:row r="1124" ht="15" hidden="0" customHeight="1">
      <x:c r="A1124" s="17" t="n">
        <x:v>1124</x:v>
      </x:c>
      <x:c r="B1124" s="17" t="str">
        <x:v>OP-1303</x:v>
      </x:c>
      <x:c r="C1124" s="17" t="str">
        <x:v>OS-6480</x:v>
      </x:c>
      <x:c r="D1124" s="17" t="str">
        <x:v>2026-06-25 08:00:00</x:v>
      </x:c>
      <x:c r="E1124" s="17" t="str">
        <x:v>Ball Corporation</x:v>
      </x:c>
      <x:c r="F1124" s="17" t="str">
        <x:v>Júlia Cordeiro - (12) 99763-5779</x:v>
      </x:c>
      <x:c r="G1124" s="17" t="str">
        <x:v>Concluído</x:v>
      </x:c>
      <x:c r="H1124" s="17" t="str">
        <x:v>Pago</x:v>
      </x:c>
      <x:c r="I1124" s="21" t="n">
        <x:v>979</x:v>
      </x:c>
    </x:row>
    <x:row r="1125" ht="15" hidden="0" customHeight="1">
      <x:c r="A1125" s="17" t="n">
        <x:v>1125</x:v>
      </x:c>
      <x:c r="B1125" s="17" t="str">
        <x:v>OP-1289</x:v>
      </x:c>
      <x:c r="C1125" s="17" t="str">
        <x:v>OS-5822</x:v>
      </x:c>
      <x:c r="D1125" s="17" t="str">
        <x:v>2026-06-25 08:30:00</x:v>
      </x:c>
      <x:c r="E1125" s="17" t="str">
        <x:v>Johnson&amp;Johnson</x:v>
      </x:c>
      <x:c r="F1125" s="17" t="str">
        <x:v>Alberto Cardoso - +55 (12) 99629-4747</x:v>
      </x:c>
      <x:c r="G1125" s="17" t="str">
        <x:v>Concluído</x:v>
      </x:c>
      <x:c r="H1125" s="17" t="str">
        <x:v>Pago</x:v>
      </x:c>
      <x:c r="I1125" s="21" t="n">
        <x:v>139.58</x:v>
      </x:c>
    </x:row>
    <x:row r="1126" ht="24" hidden="0" customHeight="1">
      <x:c r="A1126" s="17" t="n">
        <x:v>1126</x:v>
      </x:c>
      <x:c r="B1126" s="17" t="str">
        <x:v>OP-1306</x:v>
      </x:c>
      <x:c r="C1126" s="17" t="str">
        <x:v>OS-6621</x:v>
      </x:c>
      <x:c r="D1126" s="17" t="str">
        <x:v>2026-06-25 11:55:00</x:v>
      </x:c>
      <x:c r="E1126" s="17" t="str">
        <x:v>Arco Corretores</x:v>
      </x:c>
      <x:c r="F1126" s="17" t="str">
        <x:v>Vinicius Barbosa Mira - +55 (12) 98869-5683;
Davi Freitas - +55 (12) 98831-9895</x:v>
      </x:c>
      <x:c r="G1126" s="17" t="str">
        <x:v>Concluído</x:v>
      </x:c>
      <x:c r="H1126" s="17" t="str">
        <x:v>Pago</x:v>
      </x:c>
      <x:c r="I1126" s="21" t="n">
        <x:v>350</x:v>
      </x:c>
    </x:row>
    <x:row r="1127" ht="15" hidden="0" customHeight="1">
      <x:c r="A1127" s="17" t="n">
        <x:v>1127</x:v>
      </x:c>
      <x:c r="B1127" s="17" t="str">
        <x:v>OP-1320</x:v>
      </x:c>
      <x:c r="C1127" s="17" t="str">
        <x:v>OS-6171</x:v>
      </x:c>
      <x:c r="D1127" s="17" t="str">
        <x:v>2026-06-25 13:00:00</x:v>
      </x:c>
      <x:c r="E1127" s="17" t="str">
        <x:v>Kenvue</x:v>
      </x:c>
      <x:c r="F1127" s="17" t="str">
        <x:v>Maria Luz Menendez - +55 (11) 98294-6457</x:v>
      </x:c>
      <x:c r="G1127" s="17" t="str">
        <x:v>Concluído</x:v>
      </x:c>
      <x:c r="H1127" s="17" t="str">
        <x:v>Pago</x:v>
      </x:c>
      <x:c r="I1127" s="21" t="n">
        <x:v>713.56</x:v>
      </x:c>
    </x:row>
    <x:row r="1128" ht="15" hidden="0" customHeight="1">
      <x:c r="A1128" s="17" t="n">
        <x:v>1128</x:v>
      </x:c>
      <x:c r="B1128" s="17" t="str">
        <x:v>OP-1289</x:v>
      </x:c>
      <x:c r="C1128" s="17" t="str">
        <x:v>OS-5866</x:v>
      </x:c>
      <x:c r="D1128" s="17" t="str">
        <x:v>2026-06-25 15:30:00</x:v>
      </x:c>
      <x:c r="E1128" s="17" t="str">
        <x:v>Johnson&amp;Johnson</x:v>
      </x:c>
      <x:c r="F1128" s="17" t="str">
        <x:v>Alberto Cardoso - +55 (12) 99629-4747</x:v>
      </x:c>
      <x:c r="G1128" s="17" t="str">
        <x:v>Concluído</x:v>
      </x:c>
      <x:c r="H1128" s="17" t="str">
        <x:v>Pago</x:v>
      </x:c>
      <x:c r="I1128" s="21" t="n">
        <x:v>139.58</x:v>
      </x:c>
    </x:row>
    <x:row r="1129" ht="24" hidden="0" customHeight="1">
      <x:c r="A1129" s="17" t="n">
        <x:v>1129</x:v>
      </x:c>
      <x:c r="B1129" s="17" t="str">
        <x:v>OP-1304</x:v>
      </x:c>
      <x:c r="C1129" s="17" t="str">
        <x:v>OS-6632</x:v>
      </x:c>
      <x:c r="D1129" s="17" t="str">
        <x:v>2026-06-25 17:00:00</x:v>
      </x:c>
      <x:c r="E1129" s="17" t="str">
        <x:v>Mckinsey</x:v>
      </x:c>
      <x:c r="F1129" s="17" t="str">
        <x:v>Mahsa Galiani - indeterminado;
Ingrid Millan - indeterminado</x:v>
      </x:c>
      <x:c r="G1129" s="17" t="str">
        <x:v>Concluído</x:v>
      </x:c>
      <x:c r="H1129" s="17" t="str">
        <x:v>Pago</x:v>
      </x:c>
      <x:c r="I1129" s="21" t="n">
        <x:v>509.42</x:v>
      </x:c>
    </x:row>
    <x:row r="1130" ht="15" hidden="0" customHeight="1">
      <x:c r="A1130" s="17" t="n">
        <x:v>1130</x:v>
      </x:c>
      <x:c r="B1130" s="17" t="str">
        <x:v>OP-1293</x:v>
      </x:c>
      <x:c r="C1130" s="17" t="str">
        <x:v>OS-6628</x:v>
      </x:c>
      <x:c r="D1130" s="17" t="str">
        <x:v>2026-06-25 17:00:00</x:v>
      </x:c>
      <x:c r="E1130" s="17" t="str">
        <x:v>Particular</x:v>
      </x:c>
      <x:c r="F1130" s="17" t="str">
        <x:v>Gonzalo Blanco - +598 972 5742 4</x:v>
      </x:c>
      <x:c r="G1130" s="17" t="str">
        <x:v>Concluído</x:v>
      </x:c>
      <x:c r="H1130" s="17" t="str">
        <x:v>Pago</x:v>
      </x:c>
      <x:c r="I1130" s="21" t="n">
        <x:v>635.56</x:v>
      </x:c>
    </x:row>
    <x:row r="1131" ht="15" hidden="0" customHeight="1">
      <x:c r="A1131" s="17" t="n">
        <x:v>1131</x:v>
      </x:c>
      <x:c r="B1131" s="17" t="str">
        <x:v>OP-1292</x:v>
      </x:c>
      <x:c r="C1131" s="17" t="str">
        <x:v>OS-6076</x:v>
      </x:c>
      <x:c r="D1131" s="17" t="str">
        <x:v>2026-06-25 18:30:00</x:v>
      </x:c>
      <x:c r="E1131" s="17" t="str">
        <x:v>Johnson&amp;Johnson</x:v>
      </x:c>
      <x:c r="F1131" s="17" t="str">
        <x:v>Reza Rahimi - indeterminado</x:v>
      </x:c>
      <x:c r="G1131" s="17" t="str">
        <x:v>Concluído</x:v>
      </x:c>
      <x:c r="H1131" s="17" t="str">
        <x:v>Pago</x:v>
      </x:c>
      <x:c r="I1131" s="21" t="n">
        <x:v>713.56</x:v>
      </x:c>
    </x:row>
    <x:row r="1132" ht="15" hidden="0" customHeight="1">
      <x:c r="A1132" s="17" t="n">
        <x:v>1132</x:v>
      </x:c>
      <x:c r="B1132" s="17" t="str">
        <x:v>OP-1304</x:v>
      </x:c>
      <x:c r="C1132" s="17" t="str">
        <x:v>OS-6641</x:v>
      </x:c>
      <x:c r="D1132" s="17" t="str">
        <x:v>2026-06-25 19:00:00</x:v>
      </x:c>
      <x:c r="E1132" s="17" t="str">
        <x:v>Mckinsey</x:v>
      </x:c>
      <x:c r="F1132" s="17" t="str">
        <x:v>Willian Bezerra - indeterminado</x:v>
      </x:c>
      <x:c r="G1132" s="17" t="str">
        <x:v>Concluído</x:v>
      </x:c>
      <x:c r="H1132" s="17" t="str">
        <x:v>Pago</x:v>
      </x:c>
      <x:c r="I1132" s="21" t="n">
        <x:v>713.56</x:v>
      </x:c>
    </x:row>
    <x:row r="1133" ht="15" hidden="0" customHeight="1">
      <x:c r="A1133" s="17" t="n">
        <x:v>1133</x:v>
      </x:c>
      <x:c r="B1133" s="17" t="str">
        <x:v>OP-1294</x:v>
      </x:c>
      <x:c r="C1133" s="17" t="str">
        <x:v>OS-6433</x:v>
      </x:c>
      <x:c r="D1133" s="17" t="str">
        <x:v>2026-06-26 07:00:00</x:v>
      </x:c>
      <x:c r="E1133" s="17" t="str">
        <x:v>Johnson&amp;Johnson</x:v>
      </x:c>
      <x:c r="F1133" s="17" t="str">
        <x:v>Aline Galdieri - +55 (12) 99165-5286</x:v>
      </x:c>
      <x:c r="G1133" s="17" t="str">
        <x:v>Concluído</x:v>
      </x:c>
      <x:c r="H1133" s="17" t="str">
        <x:v>Pago</x:v>
      </x:c>
      <x:c r="I1133" s="21" t="n">
        <x:v>509.98</x:v>
      </x:c>
    </x:row>
    <x:row r="1134" ht="15" hidden="0" customHeight="1">
      <x:c r="A1134" s="17" t="n">
        <x:v>1134</x:v>
      </x:c>
      <x:c r="B1134" s="17" t="str">
        <x:v>OP-1301</x:v>
      </x:c>
      <x:c r="C1134" s="17" t="str">
        <x:v>OS-6389</x:v>
      </x:c>
      <x:c r="D1134" s="17" t="str">
        <x:v>2026-06-26 07:30:00</x:v>
      </x:c>
      <x:c r="E1134" s="17" t="str">
        <x:v>Kenvue</x:v>
      </x:c>
      <x:c r="F1134" s="17" t="str">
        <x:v>Sara Albuquerque - +55 (12) 99655-0594</x:v>
      </x:c>
      <x:c r="G1134" s="17" t="str">
        <x:v>Concluído</x:v>
      </x:c>
      <x:c r="H1134" s="17" t="str">
        <x:v>Pago</x:v>
      </x:c>
      <x:c r="I1134" s="21" t="n">
        <x:v>496.35</x:v>
      </x:c>
    </x:row>
    <x:row r="1135" ht="15" hidden="0" customHeight="1">
      <x:c r="A1135" s="17" t="n">
        <x:v>1135</x:v>
      </x:c>
      <x:c r="B1135" s="17" t="str">
        <x:v>OP-1289</x:v>
      </x:c>
      <x:c r="C1135" s="17" t="str">
        <x:v>OS-5823</x:v>
      </x:c>
      <x:c r="D1135" s="17" t="str">
        <x:v>2026-06-26 08:30:00</x:v>
      </x:c>
      <x:c r="E1135" s="17" t="str">
        <x:v>Johnson&amp;Johnson</x:v>
      </x:c>
      <x:c r="F1135" s="17" t="str">
        <x:v>Alberto Cardoso - +55 (12) 99629-4747</x:v>
      </x:c>
      <x:c r="G1135" s="17" t="str">
        <x:v>Concluído</x:v>
      </x:c>
      <x:c r="H1135" s="17" t="str">
        <x:v>Pago</x:v>
      </x:c>
      <x:c r="I1135" s="21" t="n">
        <x:v>139.58</x:v>
      </x:c>
    </x:row>
    <x:row r="1136" ht="24" hidden="0" customHeight="1">
      <x:c r="A1136" s="17" t="n">
        <x:v>1136</x:v>
      </x:c>
      <x:c r="B1136" s="17" t="str">
        <x:v>OP-1290</x:v>
      </x:c>
      <x:c r="C1136" s="17" t="str">
        <x:v>OS-6402</x:v>
      </x:c>
      <x:c r="D1136" s="17" t="str">
        <x:v>2026-06-26 11:55:00</x:v>
      </x:c>
      <x:c r="E1136" s="17" t="str">
        <x:v>Kenvue</x:v>
      </x:c>
      <x:c r="F1136" s="17" t="str">
        <x:v>Andrea Alvarez - +57 300 266 6911;
Guillermo Tsujioka - indeterminado</x:v>
      </x:c>
      <x:c r="G1136" s="17" t="str">
        <x:v>Concluído</x:v>
      </x:c>
      <x:c r="H1136" s="17" t="str">
        <x:v>Pago</x:v>
      </x:c>
      <x:c r="I1136" s="21" t="n">
        <x:v>429.35</x:v>
      </x:c>
    </x:row>
    <x:row r="1137" ht="15" hidden="0" customHeight="1">
      <x:c r="A1137" s="17" t="n">
        <x:v>1137</x:v>
      </x:c>
      <x:c r="B1137" s="17" t="str">
        <x:v>OP-1291</x:v>
      </x:c>
      <x:c r="C1137" s="17" t="str">
        <x:v>OS-6470</x:v>
      </x:c>
      <x:c r="D1137" s="17" t="str">
        <x:v>2026-06-26 14:00:00</x:v>
      </x:c>
      <x:c r="E1137" s="17" t="str">
        <x:v>Kenvue</x:v>
      </x:c>
      <x:c r="F1137" s="17" t="str">
        <x:v>Guillermo Tsujioka - indeterminado</x:v>
      </x:c>
      <x:c r="G1137" s="17" t="str">
        <x:v>Cancelado</x:v>
      </x:c>
      <x:c r="H1137" s="17" t="str">
        <x:v>Pago</x:v>
      </x:c>
      <x:c r="I1137" s="21" t="n">
        <x:v>429.35</x:v>
      </x:c>
    </x:row>
    <x:row r="1138" ht="15" hidden="0" customHeight="1">
      <x:c r="A1138" s="17" t="n">
        <x:v>1138</x:v>
      </x:c>
      <x:c r="B1138" s="17" t="str">
        <x:v>OP-1289</x:v>
      </x:c>
      <x:c r="C1138" s="17" t="str">
        <x:v>OS-5867</x:v>
      </x:c>
      <x:c r="D1138" s="17" t="str">
        <x:v>2026-06-26 15:00:00</x:v>
      </x:c>
      <x:c r="E1138" s="17" t="str">
        <x:v>Johnson&amp;Johnson</x:v>
      </x:c>
      <x:c r="F1138" s="17" t="str">
        <x:v>Alberto Cardoso - +55 (12) 99629-4747</x:v>
      </x:c>
      <x:c r="G1138" s="17" t="str">
        <x:v>Concluído</x:v>
      </x:c>
      <x:c r="H1138" s="17" t="str">
        <x:v>Pago</x:v>
      </x:c>
      <x:c r="I1138" s="21" t="n">
        <x:v>139.58</x:v>
      </x:c>
    </x:row>
    <x:row r="1139" ht="15" hidden="0" customHeight="1">
      <x:c r="A1139" s="17" t="n">
        <x:v>1139</x:v>
      </x:c>
      <x:c r="B1139" s="17" t="str">
        <x:v>OP-1292</x:v>
      </x:c>
      <x:c r="C1139" s="17" t="str">
        <x:v>OS-6075</x:v>
      </x:c>
      <x:c r="D1139" s="17" t="str">
        <x:v>2026-06-26 16:30:00</x:v>
      </x:c>
      <x:c r="E1139" s="17" t="str">
        <x:v>Johnson&amp;Johnson</x:v>
      </x:c>
      <x:c r="F1139" s="17" t="str">
        <x:v>Reza Rahimi - indeterminado</x:v>
      </x:c>
      <x:c r="G1139" s="17" t="str">
        <x:v>Concluído</x:v>
      </x:c>
      <x:c r="H1139" s="17" t="str">
        <x:v>Pago</x:v>
      </x:c>
      <x:c r="I1139" s="21" t="n">
        <x:v>713.56</x:v>
      </x:c>
    </x:row>
    <x:row r="1140" ht="24" hidden="0" customHeight="1">
      <x:c r="A1140" s="17" t="n">
        <x:v>1140</x:v>
      </x:c>
      <x:c r="B1140" s="17" t="str">
        <x:v>OP-1296</x:v>
      </x:c>
      <x:c r="C1140" s="17" t="str">
        <x:v>OS-6118</x:v>
      </x:c>
      <x:c r="D1140" s="17" t="str">
        <x:v>2026-06-26 18:55:00</x:v>
      </x:c>
      <x:c r="E1140" s="17" t="str">
        <x:v>Boeing</x:v>
      </x:c>
      <x:c r="F1140" s="17" t="str">
        <x:v>Rafael Eduardo Brenner - +55 (12) 98219-9515;
Jenner Cavalcanti Seixas - +55 (12) 98129-6657</x:v>
      </x:c>
      <x:c r="G1140" s="17" t="str">
        <x:v>Concluído</x:v>
      </x:c>
      <x:c r="H1140" s="17" t="str">
        <x:v>Pago</x:v>
      </x:c>
      <x:c r="I1140" s="21" t="n">
        <x:v>512.97</x:v>
      </x:c>
    </x:row>
    <x:row r="1141" ht="15" hidden="0" customHeight="1">
      <x:c r="A1141" s="17" t="n">
        <x:v>1141</x:v>
      </x:c>
      <x:c r="B1141" s="17" t="str">
        <x:v>OP-1299</x:v>
      </x:c>
      <x:c r="C1141" s="17" t="str">
        <x:v>OS-6162</x:v>
      </x:c>
      <x:c r="D1141" s="17" t="str">
        <x:v>2026-06-27 03:30:00</x:v>
      </x:c>
      <x:c r="E1141" s="17" t="str">
        <x:v>Johnson&amp;Johnson</x:v>
      </x:c>
      <x:c r="F1141" s="17" t="str">
        <x:v>Fernanda Pedrosa Runha - +55 (12) 98122-8335</x:v>
      </x:c>
      <x:c r="G1141" s="17" t="str">
        <x:v>Concluído</x:v>
      </x:c>
      <x:c r="H1141" s="17" t="str">
        <x:v>Pago</x:v>
      </x:c>
      <x:c r="I1141" s="21" t="n">
        <x:v>509.98</x:v>
      </x:c>
    </x:row>
    <x:row r="1142" ht="24" hidden="0" customHeight="1">
      <x:c r="A1142" s="17" t="n">
        <x:v>1142</x:v>
      </x:c>
      <x:c r="B1142" s="17" t="str">
        <x:v>OP-1297</x:v>
      </x:c>
      <x:c r="C1142" s="17" t="str">
        <x:v>OS-6696</x:v>
      </x:c>
      <x:c r="D1142" s="17" t="str">
        <x:v>2026-06-27 09:00:00</x:v>
      </x:c>
      <x:c r="E1142" s="17" t="str">
        <x:v>Boeing</x:v>
      </x:c>
      <x:c r="F1142" s="17" t="str">
        <x:v>Larissa Lemes Avari Lauterjung - +55 (12) 98131-5086;
Suzy Higashibara - +55 (12) 99177-8455</x:v>
      </x:c>
      <x:c r="G1142" s="17" t="str">
        <x:v>Concluído</x:v>
      </x:c>
      <x:c r="H1142" s="17" t="str">
        <x:v>Pago</x:v>
      </x:c>
      <x:c r="I1142" s="21" t="n">
        <x:v>512.97</x:v>
      </x:c>
    </x:row>
    <x:row r="1143" ht="15" hidden="0" customHeight="1">
      <x:c r="A1143" s="17" t="n">
        <x:v>1143</x:v>
      </x:c>
      <x:c r="B1143" s="17" t="str">
        <x:v>OP-1319</x:v>
      </x:c>
      <x:c r="C1143" s="17" t="str">
        <x:v>OS-6272</x:v>
      </x:c>
      <x:c r="D1143" s="17" t="str">
        <x:v>2026-06-27 17:00:00</x:v>
      </x:c>
      <x:c r="E1143" s="17" t="str">
        <x:v>Johnson&amp;Johnson</x:v>
      </x:c>
      <x:c r="F1143" s="17" t="str">
        <x:v>Vinicius Sannuti de Carvalho - +55 (12) 99744-3430</x:v>
      </x:c>
      <x:c r="G1143" s="17" t="str">
        <x:v>Concluído</x:v>
      </x:c>
      <x:c r="H1143" s="17" t="str">
        <x:v>Pago</x:v>
      </x:c>
      <x:c r="I1143" s="21" t="n">
        <x:v>442.98</x:v>
      </x:c>
    </x:row>
    <x:row r="1144" ht="15" hidden="0" customHeight="1">
      <x:c r="A1144" s="17" t="n">
        <x:v>1144</x:v>
      </x:c>
      <x:c r="B1144" s="17" t="str">
        <x:v>OP-1298</x:v>
      </x:c>
      <x:c r="C1144" s="17" t="str">
        <x:v>OS-6513</x:v>
      </x:c>
      <x:c r="D1144" s="17" t="str">
        <x:v>2026-06-28 04:30:00</x:v>
      </x:c>
      <x:c r="E1144" s="17" t="str">
        <x:v>Johnson&amp;Johnson</x:v>
      </x:c>
      <x:c r="F1144" s="17" t="str">
        <x:v>Marcos Vinicius dos Santos - (12) 99783-8214</x:v>
      </x:c>
      <x:c r="G1144" s="17" t="str">
        <x:v>Concluído</x:v>
      </x:c>
      <x:c r="H1144" s="17" t="str">
        <x:v>Pago</x:v>
      </x:c>
      <x:c r="I1144" s="21" t="n">
        <x:v>558.86</x:v>
      </x:c>
    </x:row>
    <x:row r="1145" ht="15" hidden="0" customHeight="1">
      <x:c r="A1145" s="17" t="n">
        <x:v>1145</x:v>
      </x:c>
      <x:c r="B1145" s="17" t="str">
        <x:v>OP-1329</x:v>
      </x:c>
      <x:c r="C1145" s="17" t="str">
        <x:v>OS-6727</x:v>
      </x:c>
      <x:c r="D1145" s="17" t="str">
        <x:v>2026-06-28 05:50:00</x:v>
      </x:c>
      <x:c r="E1145" s="17" t="str">
        <x:v>Johnson&amp;Johnson</x:v>
      </x:c>
      <x:c r="F1145" s="17" t="str">
        <x:v>Juliana Nunes - indeterminado</x:v>
      </x:c>
      <x:c r="G1145" s="17" t="str">
        <x:v>Concluído</x:v>
      </x:c>
      <x:c r="H1145" s="17" t="str">
        <x:v>Pago</x:v>
      </x:c>
      <x:c r="I1145" s="21" t="n">
        <x:v>1117.43</x:v>
      </x:c>
    </x:row>
    <x:row r="1146" ht="15" hidden="0" customHeight="1">
      <x:c r="A1146" s="17" t="n">
        <x:v>1146</x:v>
      </x:c>
      <x:c r="B1146" s="17" t="str">
        <x:v>OP-1305</x:v>
      </x:c>
      <x:c r="C1146" s="17" t="str">
        <x:v>OS-6614</x:v>
      </x:c>
      <x:c r="D1146" s="17" t="str">
        <x:v>2026-06-28 07:00:00</x:v>
      </x:c>
      <x:c r="E1146" s="17" t="str">
        <x:v>Johnson&amp;Johnson</x:v>
      </x:c>
      <x:c r="F1146" s="17" t="str">
        <x:v>Sara Luz Mayen - +52 55 7930 7331</x:v>
      </x:c>
      <x:c r="G1146" s="17" t="str">
        <x:v>Concluído</x:v>
      </x:c>
      <x:c r="H1146" s="17" t="str">
        <x:v>Pago</x:v>
      </x:c>
      <x:c r="I1146" s="21" t="n">
        <x:v>780.56</x:v>
      </x:c>
    </x:row>
    <x:row r="1147" ht="15" hidden="0" customHeight="1">
      <x:c r="A1147" s="17" t="n">
        <x:v>1147</x:v>
      </x:c>
      <x:c r="B1147" s="17" t="str">
        <x:v>OP-1305</x:v>
      </x:c>
      <x:c r="C1147" s="17" t="str">
        <x:v>OS-6612</x:v>
      </x:c>
      <x:c r="D1147" s="17" t="str">
        <x:v>2026-06-28 15:00:00</x:v>
      </x:c>
      <x:c r="E1147" s="17" t="str">
        <x:v>Johnson&amp;Johnson</x:v>
      </x:c>
      <x:c r="F1147" s="17" t="str">
        <x:v>Alejandra Montero - +598 989 9355 5</x:v>
      </x:c>
      <x:c r="G1147" s="17" t="str">
        <x:v>Cancelado</x:v>
      </x:c>
      <x:c r="H1147" s="17" t="str">
        <x:v>Pago</x:v>
      </x:c>
      <x:c r="I1147" s="21" t="n">
        <x:v>780.56</x:v>
      </x:c>
    </x:row>
    <x:row r="1148" ht="24" hidden="0" customHeight="1">
      <x:c r="A1148" s="17" t="n">
        <x:v>1148</x:v>
      </x:c>
      <x:c r="B1148" s="17" t="str">
        <x:v>OP-1307</x:v>
      </x:c>
      <x:c r="C1148" s="17" t="str">
        <x:v>OS-6526</x:v>
      </x:c>
      <x:c r="D1148" s="17" t="str">
        <x:v>2026-06-28 17:45:00</x:v>
      </x:c>
      <x:c r="E1148" s="17" t="str">
        <x:v>Particular</x:v>
      </x:c>
      <x:c r="F1148" s="17" t="str">
        <x:v>Koray Dilmen - +90 505 4745 564;
Yalçin Emre Ersöz - indeterminado</x:v>
      </x:c>
      <x:c r="G1148" s="17" t="str">
        <x:v>Concluído</x:v>
      </x:c>
      <x:c r="H1148" s="17" t="str">
        <x:v>Pago</x:v>
      </x:c>
      <x:c r="I1148" s="21" t="n">
        <x:v>578.77</x:v>
      </x:c>
    </x:row>
    <x:row r="1149" ht="15" hidden="0" customHeight="1">
      <x:c r="A1149" s="17" t="n">
        <x:v>1149</x:v>
      </x:c>
      <x:c r="B1149" s="17" t="str">
        <x:v>OP-1351</x:v>
      </x:c>
      <x:c r="C1149" s="17" t="str">
        <x:v>OS-6645</x:v>
      </x:c>
      <x:c r="D1149" s="17" t="str">
        <x:v>2026-06-28 22:30:00</x:v>
      </x:c>
      <x:c r="E1149" s="17" t="str">
        <x:v>Johnson&amp;Johnson</x:v>
      </x:c>
      <x:c r="F1149" s="17" t="str">
        <x:v>Nathalia Fernandez - +57 321 510 0040</x:v>
      </x:c>
      <x:c r="G1149" s="17" t="str">
        <x:v>Concluído</x:v>
      </x:c>
      <x:c r="H1149" s="17" t="str">
        <x:v>Pagamento Pendente</x:v>
      </x:c>
      <x:c r="I1149" s="21" t="n">
        <x:v>509.98</x:v>
      </x:c>
    </x:row>
    <x:row r="1150" ht="15" hidden="0" customHeight="1">
      <x:c r="A1150" s="17" t="n">
        <x:v>1150</x:v>
      </x:c>
      <x:c r="B1150" s="17" t="str">
        <x:v>OP-1358</x:v>
      </x:c>
      <x:c r="C1150" s="17" t="str">
        <x:v>OS-6730</x:v>
      </x:c>
      <x:c r="D1150" s="17" t="str">
        <x:v>2026-06-29 05:45:00</x:v>
      </x:c>
      <x:c r="E1150" s="17" t="str">
        <x:v>Mckinsey</x:v>
      </x:c>
      <x:c r="F1150" s="17" t="str">
        <x:v>Willian Bezerra - indeterminado</x:v>
      </x:c>
      <x:c r="G1150" s="17" t="str">
        <x:v>Concluído</x:v>
      </x:c>
      <x:c r="H1150" s="17" t="str">
        <x:v>Pagamento Pendente</x:v>
      </x:c>
      <x:c r="I1150" s="21" t="n">
        <x:v>713.56</x:v>
      </x:c>
    </x:row>
    <x:row r="1151" ht="15" hidden="0" customHeight="1">
      <x:c r="A1151" s="17" t="n">
        <x:v>1151</x:v>
      </x:c>
      <x:c r="B1151" s="17" t="str">
        <x:v>OP-1289</x:v>
      </x:c>
      <x:c r="C1151" s="17" t="str">
        <x:v>OS-5824</x:v>
      </x:c>
      <x:c r="D1151" s="17" t="str">
        <x:v>2026-06-29 08:30:00</x:v>
      </x:c>
      <x:c r="E1151" s="17" t="str">
        <x:v>Johnson&amp;Johnson</x:v>
      </x:c>
      <x:c r="F1151" s="17" t="str">
        <x:v>Alberto Cardoso - +55 (12) 99629-4747</x:v>
      </x:c>
      <x:c r="G1151" s="17" t="str">
        <x:v>Cancelado</x:v>
      </x:c>
      <x:c r="H1151" s="17" t="str">
        <x:v>Pago</x:v>
      </x:c>
      <x:c r="I1151" s="21" t="n">
        <x:v>139.58</x:v>
      </x:c>
    </x:row>
    <x:row r="1152" ht="15" hidden="0" customHeight="1">
      <x:c r="A1152" s="17" t="n">
        <x:v>1152</x:v>
      </x:c>
      <x:c r="B1152" s="17" t="str">
        <x:v>OP-1308</x:v>
      </x:c>
      <x:c r="C1152" s="17" t="str">
        <x:v>OS-6729</x:v>
      </x:c>
      <x:c r="D1152" s="17" t="str">
        <x:v>2026-06-29 11:55:00</x:v>
      </x:c>
      <x:c r="E1152" s="17" t="str">
        <x:v>Johnson&amp;Johnson</x:v>
      </x:c>
      <x:c r="F1152" s="17" t="str">
        <x:v>Roneide Oliveira - +55 (12) 98190-2010</x:v>
      </x:c>
      <x:c r="G1152" s="17" t="str">
        <x:v>Concluído</x:v>
      </x:c>
      <x:c r="H1152" s="17" t="str">
        <x:v>Pago</x:v>
      </x:c>
      <x:c r="I1152" s="21" t="n">
        <x:v>603.49</x:v>
      </x:c>
    </x:row>
    <x:row r="1153" ht="15" hidden="0" customHeight="1">
      <x:c r="A1153" s="17" t="n">
        <x:v>1153</x:v>
      </x:c>
      <x:c r="B1153" s="17" t="str">
        <x:v>OP-1351</x:v>
      </x:c>
      <x:c r="C1153" s="17" t="str">
        <x:v>OS-6731</x:v>
      </x:c>
      <x:c r="D1153" s="17" t="str">
        <x:v>2026-06-29 16:30:00</x:v>
      </x:c>
      <x:c r="E1153" s="17" t="str">
        <x:v>Johnson&amp;Johnson</x:v>
      </x:c>
      <x:c r="F1153" s="17" t="str">
        <x:v>Nathalia Fernandez - +57 321 510 0040</x:v>
      </x:c>
      <x:c r="G1153" s="17" t="str">
        <x:v>Concluído</x:v>
      </x:c>
      <x:c r="H1153" s="17" t="str">
        <x:v>Pagamento Pendente</x:v>
      </x:c>
      <x:c r="I1153" s="21" t="n">
        <x:v>509.98</x:v>
      </x:c>
    </x:row>
    <x:row r="1154" ht="15" hidden="0" customHeight="1">
      <x:c r="A1154" s="17" t="n">
        <x:v>1154</x:v>
      </x:c>
      <x:c r="B1154" s="17" t="str">
        <x:v>OP-1305</x:v>
      </x:c>
      <x:c r="C1154" s="17" t="str">
        <x:v>OS-6732</x:v>
      </x:c>
      <x:c r="D1154" s="17" t="str">
        <x:v>2026-06-29 21:00:00</x:v>
      </x:c>
      <x:c r="E1154" s="17" t="str">
        <x:v>Johnson&amp;Johnson</x:v>
      </x:c>
      <x:c r="F1154" s="17" t="str">
        <x:v>Alejandra Montero - +598 989 9355 5</x:v>
      </x:c>
      <x:c r="G1154" s="17" t="str">
        <x:v>Concluído</x:v>
      </x:c>
      <x:c r="H1154" s="17" t="str">
        <x:v>Pago</x:v>
      </x:c>
      <x:c r="I1154" s="21" t="n">
        <x:v>780.56</x:v>
      </x:c>
    </x:row>
    <x:row r="1155" ht="15" hidden="0" customHeight="1">
      <x:c r="A1155" s="17" t="n">
        <x:v>1155</x:v>
      </x:c>
      <x:c r="B1155" s="17" t="str">
        <x:v>OP-1311</x:v>
      </x:c>
      <x:c r="C1155" s="17" t="str">
        <x:v>OS-6747</x:v>
      </x:c>
      <x:c r="D1155" s="17" t="str">
        <x:v>2026-06-30 04:50:00</x:v>
      </x:c>
      <x:c r="E1155" s="17" t="str">
        <x:v>Johnson&amp;Johnson</x:v>
      </x:c>
      <x:c r="F1155" s="17" t="str">
        <x:v>Gustavo Militão - +55 (12) 99147-2119</x:v>
      </x:c>
      <x:c r="G1155" s="17" t="str">
        <x:v>Concluído</x:v>
      </x:c>
      <x:c r="H1155" s="17" t="str">
        <x:v>Pagamento Pendente</x:v>
      </x:c>
      <x:c r="I1155" s="21" t="n">
        <x:v>1204.29</x:v>
      </x:c>
    </x:row>
    <x:row r="1156" ht="15" hidden="0" customHeight="1">
      <x:c r="A1156" s="17" t="n">
        <x:v>1156</x:v>
      </x:c>
      <x:c r="B1156" s="17" t="str">
        <x:v>OP-1345</x:v>
      </x:c>
      <x:c r="C1156" s="17" t="str">
        <x:v>OS-6661</x:v>
      </x:c>
      <x:c r="D1156" s="17" t="str">
        <x:v>2026-06-30 05:30:00</x:v>
      </x:c>
      <x:c r="E1156" s="17" t="str">
        <x:v>Johnson&amp;Johnson</x:v>
      </x:c>
      <x:c r="F1156" s="17" t="str">
        <x:v>Vitória Abreu Santos - (12) 98803-8224</x:v>
      </x:c>
      <x:c r="G1156" s="17" t="str">
        <x:v>Concluído</x:v>
      </x:c>
      <x:c r="H1156" s="17" t="str">
        <x:v>Pagamento Pendente</x:v>
      </x:c>
      <x:c r="I1156" s="21" t="n">
        <x:v>491.86</x:v>
      </x:c>
    </x:row>
    <x:row r="1157" ht="15" hidden="0" customHeight="1">
      <x:c r="A1157" s="17" t="n">
        <x:v>1157</x:v>
      </x:c>
      <x:c r="B1157" s="17" t="str">
        <x:v>OP-1310</x:v>
      </x:c>
      <x:c r="C1157" s="17" t="str">
        <x:v>OS-6734</x:v>
      </x:c>
      <x:c r="D1157" s="17" t="str">
        <x:v>2026-06-30 06:30:00</x:v>
      </x:c>
      <x:c r="E1157" s="17" t="str">
        <x:v>Johnson&amp;Johnson</x:v>
      </x:c>
      <x:c r="F1157" s="17" t="str">
        <x:v>Ricardo Ramos - +55 (12) 99171-8114</x:v>
      </x:c>
      <x:c r="G1157" s="17" t="str">
        <x:v>Concluído</x:v>
      </x:c>
      <x:c r="H1157" s="17" t="str">
        <x:v>Pago</x:v>
      </x:c>
      <x:c r="I1157" s="21" t="n">
        <x:v>1109.29</x:v>
      </x:c>
    </x:row>
    <x:row r="1158" ht="15" hidden="0" customHeight="1">
      <x:c r="A1158" s="17" t="n">
        <x:v>1158</x:v>
      </x:c>
      <x:c r="B1158" s="17" t="str">
        <x:v>OP-1353</x:v>
      </x:c>
      <x:c r="C1158" s="17" t="str">
        <x:v>OS-6700</x:v>
      </x:c>
      <x:c r="D1158" s="17" t="str">
        <x:v>2026-06-30 07:00:00</x:v>
      </x:c>
      <x:c r="E1158" s="17" t="str">
        <x:v>Particular</x:v>
      </x:c>
      <x:c r="F1158" s="17" t="str">
        <x:v>Alexander Fonseca - +55 (12) 99169-0855</x:v>
      </x:c>
      <x:c r="G1158" s="17" t="str">
        <x:v>Concluído</x:v>
      </x:c>
      <x:c r="H1158" s="17" t="str">
        <x:v>Pago</x:v>
      </x:c>
      <x:c r="I1158" s="21" t="n">
        <x:v>290</x:v>
      </x:c>
    </x:row>
    <x:row r="1159" ht="15" hidden="0" customHeight="1">
      <x:c r="A1159" s="17" t="n">
        <x:v>1159</x:v>
      </x:c>
      <x:c r="B1159" s="17" t="str">
        <x:v>OP-1360</x:v>
      </x:c>
      <x:c r="C1159" s="17" t="str">
        <x:v>OS-7329</x:v>
      </x:c>
      <x:c r="D1159" s="17" t="str">
        <x:v>2026-06-30 07:00:00</x:v>
      </x:c>
      <x:c r="E1159" s="17" t="str">
        <x:v>Johnson&amp;Johnson</x:v>
      </x:c>
      <x:c r="F1159" s="17" t="str">
        <x:v>Bruno Bueno - (12) 99753-4967</x:v>
      </x:c>
      <x:c r="G1159" s="17" t="str">
        <x:v>Concluído</x:v>
      </x:c>
      <x:c r="H1159" s="17" t="str">
        <x:v>Pagamento Pendente</x:v>
      </x:c>
      <x:c r="I1159" s="21" t="n">
        <x:v>2414.1</x:v>
      </x:c>
    </x:row>
    <x:row r="1160" ht="15" hidden="0" customHeight="1">
      <x:c r="A1160" s="17" t="n">
        <x:v>1160</x:v>
      </x:c>
      <x:c r="B1160" s="17" t="str">
        <x:v>OP-1309</x:v>
      </x:c>
      <x:c r="C1160" s="17" t="str">
        <x:v>OS-6791</x:v>
      </x:c>
      <x:c r="D1160" s="17" t="str">
        <x:v>2026-06-30 13:15:00</x:v>
      </x:c>
      <x:c r="E1160" s="17" t="str">
        <x:v>Johnson&amp;Johnson</x:v>
      </x:c>
      <x:c r="F1160" s="17" t="str">
        <x:v>Maria Gabriela Martins Rossi - (14) 99102-0651</x:v>
      </x:c>
      <x:c r="G1160" s="17" t="str">
        <x:v>Concluído</x:v>
      </x:c>
      <x:c r="H1160" s="17" t="str">
        <x:v>Composição Realizada</x:v>
      </x:c>
      <x:c r="I1160" s="21" t="n">
        <x:v>139.58</x:v>
      </x:c>
    </x:row>
    <x:row r="1161" ht="15" hidden="0" customHeight="1">
      <x:c r="A1161" s="17" t="n">
        <x:v>1161</x:v>
      </x:c>
      <x:c r="B1161" s="17" t="str">
        <x:v>OP-1300</x:v>
      </x:c>
      <x:c r="C1161" s="17" t="str">
        <x:v>OS-6792</x:v>
      </x:c>
      <x:c r="D1161" s="17" t="str">
        <x:v>2026-06-30 19:00:00</x:v>
      </x:c>
      <x:c r="E1161" s="17" t="str">
        <x:v>Boeing</x:v>
      </x:c>
      <x:c r="F1161" s="17" t="str">
        <x:v>Vijay Laxmi Maurya - +91 99008 50517</x:v>
      </x:c>
      <x:c r="G1161" s="17" t="str">
        <x:v>Concluído</x:v>
      </x:c>
      <x:c r="H1161" s="17" t="str">
        <x:v>Pago</x:v>
      </x:c>
      <x:c r="I1161" s="21" t="n">
        <x:v>414.2</x:v>
      </x:c>
    </x:row>
    <x:row r="1162" ht="15" hidden="0" customHeight="1">
      <x:c r="A1162" s="17" t="n">
        <x:v>1162</x:v>
      </x:c>
      <x:c r="B1162" s="17" t="str">
        <x:v>OP-1321</x:v>
      </x:c>
      <x:c r="C1162" s="17" t="str">
        <x:v>OS-6823</x:v>
      </x:c>
      <x:c r="D1162" s="17" t="str">
        <x:v>2026-07-01 03:30:00</x:v>
      </x:c>
      <x:c r="E1162" s="17" t="str">
        <x:v>Johnson&amp;Johnson</x:v>
      </x:c>
      <x:c r="F1162" s="17" t="str">
        <x:v>Jéssica Nery - +55 (19) 98347-0590</x:v>
      </x:c>
      <x:c r="G1162" s="17" t="str">
        <x:v>Concluído</x:v>
      </x:c>
      <x:c r="H1162" s="17" t="str">
        <x:v>Pago</x:v>
      </x:c>
      <x:c r="I1162" s="21" t="n">
        <x:v>491.86</x:v>
      </x:c>
    </x:row>
    <x:row r="1163" ht="36" hidden="0" customHeight="1">
      <x:c r="A1163" s="17" t="n">
        <x:v>1163</x:v>
      </x:c>
      <x:c r="B1163" s="17" t="str">
        <x:v>OP-1350</x:v>
      </x:c>
      <x:c r="C1163" s="17" t="str">
        <x:v>OS-6772</x:v>
      </x:c>
      <x:c r="D1163" s="17" t="str">
        <x:v>2026-07-01 06:45:00</x:v>
      </x:c>
      <x:c r="E1163" s="17" t="str">
        <x:v>Johnson&amp;Johnson</x:v>
      </x:c>
      <x:c r="F1163" s="17" t="str">
        <x:v>Gabriela Gonçalves Marchesi - (35) 98815-8015;
Gislaine Cruz - +55 (12) 99719-1425;
Nathalia Fernandez - +57 321 510 0040</x:v>
      </x:c>
      <x:c r="G1163" s="17" t="str">
        <x:v>Concluído</x:v>
      </x:c>
      <x:c r="H1163" s="17" t="str">
        <x:v>Pago</x:v>
      </x:c>
      <x:c r="I1163" s="21" t="n">
        <x:v>1109.29</x:v>
      </x:c>
    </x:row>
    <x:row r="1164" ht="15" hidden="0" customHeight="1">
      <x:c r="A1164" s="17" t="n">
        <x:v>1164</x:v>
      </x:c>
      <x:c r="B1164" s="17" t="str">
        <x:v>OP-1358</x:v>
      </x:c>
      <x:c r="C1164" s="17" t="str">
        <x:v>OS-6793</x:v>
      </x:c>
      <x:c r="D1164" s="17" t="str">
        <x:v>2026-07-01 07:30:00</x:v>
      </x:c>
      <x:c r="E1164" s="17" t="str">
        <x:v>Mckinsey</x:v>
      </x:c>
      <x:c r="F1164" s="17" t="str">
        <x:v>Valeria Gallegos - indeterminado</x:v>
      </x:c>
      <x:c r="G1164" s="17" t="str">
        <x:v>Concluído</x:v>
      </x:c>
      <x:c r="H1164" s="17" t="str">
        <x:v>Pagamento Pendente</x:v>
      </x:c>
      <x:c r="I1164" s="21" t="n">
        <x:v>576.42</x:v>
      </x:c>
    </x:row>
    <x:row r="1165" ht="24" hidden="0" customHeight="1">
      <x:c r="A1165" s="17" t="n">
        <x:v>1165</x:v>
      </x:c>
      <x:c r="B1165" s="17" t="str">
        <x:v>OP-1305</x:v>
      </x:c>
      <x:c r="C1165" s="17" t="str">
        <x:v>OS-6613</x:v>
      </x:c>
      <x:c r="D1165" s="17" t="str">
        <x:v>2026-07-02 06:00:00</x:v>
      </x:c>
      <x:c r="E1165" s="17" t="str">
        <x:v>Johnson&amp;Johnson</x:v>
      </x:c>
      <x:c r="F1165" s="17" t="str">
        <x:v>Alejandra Montero - +59898993555;
Sara Luz Mayen - +525579307331</x:v>
      </x:c>
      <x:c r="G1165" s="17" t="str">
        <x:v>Concluído</x:v>
      </x:c>
      <x:c r="H1165" s="17" t="str">
        <x:v>Pago</x:v>
      </x:c>
      <x:c r="I1165" s="21" t="n">
        <x:v>713.56</x:v>
      </x:c>
    </x:row>
    <x:row r="1166" ht="15" hidden="0" customHeight="1">
      <x:c r="A1166" s="17" t="n">
        <x:v>1166</x:v>
      </x:c>
      <x:c r="B1166" s="17" t="str">
        <x:v>OP-1319</x:v>
      </x:c>
      <x:c r="C1166" s="17" t="str">
        <x:v>OS-6273</x:v>
      </x:c>
      <x:c r="D1166" s="17" t="str">
        <x:v>2026-07-02 07:10:00</x:v>
      </x:c>
      <x:c r="E1166" s="17" t="str">
        <x:v>Johnson&amp;Johnson</x:v>
      </x:c>
      <x:c r="F1166" s="17" t="str">
        <x:v>Vinicius Sannuti de Carvalho - +55 (12) 99744-3430</x:v>
      </x:c>
      <x:c r="G1166" s="17" t="str">
        <x:v>Concluído</x:v>
      </x:c>
      <x:c r="H1166" s="17" t="str">
        <x:v>Pago</x:v>
      </x:c>
      <x:c r="I1166" s="21" t="n">
        <x:v>509.98</x:v>
      </x:c>
    </x:row>
    <x:row r="1167" ht="15" hidden="0" customHeight="1">
      <x:c r="A1167" s="17" t="n">
        <x:v>1167</x:v>
      </x:c>
      <x:c r="B1167" s="17" t="str">
        <x:v>OP-1358</x:v>
      </x:c>
      <x:c r="C1167" s="17" t="str">
        <x:v>OS-6546</x:v>
      </x:c>
      <x:c r="D1167" s="17" t="str">
        <x:v>2026-07-02 17:00:00</x:v>
      </x:c>
      <x:c r="E1167" s="17" t="str">
        <x:v>Mckinsey</x:v>
      </x:c>
      <x:c r="F1167" s="17" t="str">
        <x:v>Willian Bezerra - indeterminado</x:v>
      </x:c>
      <x:c r="G1167" s="17" t="str">
        <x:v>Concluído</x:v>
      </x:c>
      <x:c r="H1167" s="17" t="str">
        <x:v>Pagamento Pendente</x:v>
      </x:c>
      <x:c r="I1167" s="21" t="n">
        <x:v>509.42</x:v>
      </x:c>
    </x:row>
    <x:row r="1168" ht="15" hidden="0" customHeight="1">
      <x:c r="A1168" s="17" t="n">
        <x:v>1168</x:v>
      </x:c>
      <x:c r="B1168" s="17" t="str">
        <x:v>OP-1358</x:v>
      </x:c>
      <x:c r="C1168" s="17" t="str">
        <x:v>OS-6881</x:v>
      </x:c>
      <x:c r="D1168" s="17" t="str">
        <x:v>2026-07-02 17:00:00</x:v>
      </x:c>
      <x:c r="E1168" s="17" t="str">
        <x:v>Mckinsey</x:v>
      </x:c>
      <x:c r="F1168" s="17" t="str">
        <x:v>Valeria Gallegos - indeterminado</x:v>
      </x:c>
      <x:c r="G1168" s="17" t="str">
        <x:v>Concluído</x:v>
      </x:c>
      <x:c r="H1168" s="17" t="str">
        <x:v>Pagamento Pendente</x:v>
      </x:c>
      <x:c r="I1168" s="21" t="n">
        <x:v>509.42</x:v>
      </x:c>
    </x:row>
    <x:row r="1169" ht="15" hidden="0" customHeight="1">
      <x:c r="A1169" s="17" t="n">
        <x:v>1169</x:v>
      </x:c>
      <x:c r="B1169" s="17" t="str">
        <x:v>OP-1308</x:v>
      </x:c>
      <x:c r="C1169" s="17" t="str">
        <x:v>OS-6757</x:v>
      </x:c>
      <x:c r="D1169" s="17" t="str">
        <x:v>2026-07-03 01:10:00</x:v>
      </x:c>
      <x:c r="E1169" s="17" t="str">
        <x:v>Johnson&amp;Johnson</x:v>
      </x:c>
      <x:c r="F1169" s="17" t="str">
        <x:v>Roneide Oliveira - +55 (12) 98190-2010</x:v>
      </x:c>
      <x:c r="G1169" s="17" t="str">
        <x:v>Concluído</x:v>
      </x:c>
      <x:c r="H1169" s="17" t="str">
        <x:v>Pago</x:v>
      </x:c>
      <x:c r="I1169" s="21" t="n">
        <x:v>670.49</x:v>
      </x:c>
    </x:row>
    <x:row r="1170" ht="15" hidden="0" customHeight="1">
      <x:c r="A1170" s="17" t="n">
        <x:v>1170</x:v>
      </x:c>
      <x:c r="B1170" s="17" t="str">
        <x:v>OP-1314</x:v>
      </x:c>
      <x:c r="C1170" s="17" t="str">
        <x:v>OS-6824</x:v>
      </x:c>
      <x:c r="D1170" s="17" t="str">
        <x:v>2026-07-03 06:00:00</x:v>
      </x:c>
      <x:c r="E1170" s="17" t="str">
        <x:v>Kenvue</x:v>
      </x:c>
      <x:c r="F1170" s="17" t="str">
        <x:v>Wanessa Oliveira Costa - +55 (12) 98205-9358</x:v>
      </x:c>
      <x:c r="G1170" s="17" t="str">
        <x:v>Concluído</x:v>
      </x:c>
      <x:c r="H1170" s="17" t="str">
        <x:v>Pago</x:v>
      </x:c>
      <x:c r="I1170" s="21" t="n">
        <x:v>1056.24</x:v>
      </x:c>
    </x:row>
    <x:row r="1171" ht="15" hidden="0" customHeight="1">
      <x:c r="A1171" s="17" t="n">
        <x:v>1171</x:v>
      </x:c>
      <x:c r="B1171" s="17" t="str">
        <x:v>OP-1321</x:v>
      </x:c>
      <x:c r="C1171" s="17" t="str">
        <x:v>OS-6891</x:v>
      </x:c>
      <x:c r="D1171" s="17" t="str">
        <x:v>2026-07-03 16:15:00</x:v>
      </x:c>
      <x:c r="E1171" s="17" t="str">
        <x:v>Janssen Cilag</x:v>
      </x:c>
      <x:c r="F1171" s="17" t="str">
        <x:v>Jéssica Nery - +55 19 98347-0590</x:v>
      </x:c>
      <x:c r="G1171" s="17" t="str">
        <x:v>Concluído</x:v>
      </x:c>
      <x:c r="H1171" s="17" t="str">
        <x:v>Pago</x:v>
      </x:c>
      <x:c r="I1171" s="21" t="n">
        <x:v>558.86</x:v>
      </x:c>
    </x:row>
    <x:row r="1172" ht="36" hidden="0" customHeight="1">
      <x:c r="A1172" s="17" t="n">
        <x:v>1172</x:v>
      </x:c>
      <x:c r="B1172" s="17" t="str">
        <x:v>OP-1350</x:v>
      </x:c>
      <x:c r="C1172" s="17" t="str">
        <x:v>OS-6773</x:v>
      </x:c>
      <x:c r="D1172" s="17" t="str">
        <x:v>2026-07-03 17:00:00</x:v>
      </x:c>
      <x:c r="E1172" s="17" t="str">
        <x:v>Johnson&amp;Johnson</x:v>
      </x:c>
      <x:c r="F1172" s="17" t="str">
        <x:v>Gabriela Gonçalves Marchesi - (35) 98815-8015;
Nathalia Fernandez - +57 321 510 0040;
Gislaine Cruz - +55 (12) 99719-1425</x:v>
      </x:c>
      <x:c r="G1172" s="17" t="str">
        <x:v>Concluído</x:v>
      </x:c>
      <x:c r="H1172" s="17" t="str">
        <x:v>Pago</x:v>
      </x:c>
      <x:c r="I1172" s="21" t="n">
        <x:v>864.89</x:v>
      </x:c>
    </x:row>
    <x:row r="1173" ht="15" hidden="0" customHeight="1">
      <x:c r="A1173" s="17" t="n">
        <x:v>1173</x:v>
      </x:c>
      <x:c r="B1173" s="17" t="str">
        <x:v>OP-1342</x:v>
      </x:c>
      <x:c r="C1173" s="17" t="str">
        <x:v>OS-6789</x:v>
      </x:c>
      <x:c r="D1173" s="17" t="str">
        <x:v>2026-07-03 17:30:00</x:v>
      </x:c>
      <x:c r="E1173" s="17" t="str">
        <x:v>Boeing</x:v>
      </x:c>
      <x:c r="F1173" s="17" t="str">
        <x:v>Rene Costa Araújo - indeterminado</x:v>
      </x:c>
      <x:c r="G1173" s="17" t="str">
        <x:v>Concluído</x:v>
      </x:c>
      <x:c r="H1173" s="17" t="str">
        <x:v>Pago</x:v>
      </x:c>
      <x:c r="I1173" s="21" t="n">
        <x:v>396.05</x:v>
      </x:c>
    </x:row>
    <x:row r="1174" ht="24" hidden="0" customHeight="1">
      <x:c r="A1174" s="17" t="n">
        <x:v>1174</x:v>
      </x:c>
      <x:c r="B1174" s="17" t="str">
        <x:v>OP-1307</x:v>
      </x:c>
      <x:c r="C1174" s="17" t="str">
        <x:v>OS-6926</x:v>
      </x:c>
      <x:c r="D1174" s="17" t="str">
        <x:v>2026-07-04 11:30:00</x:v>
      </x:c>
      <x:c r="E1174" s="17" t="str">
        <x:v>Particular</x:v>
      </x:c>
      <x:c r="F1174" s="17" t="str">
        <x:v>Koray Dilmen - +905054745564;
Yalçin Emre Ersöz - indeterminado</x:v>
      </x:c>
      <x:c r="G1174" s="17" t="str">
        <x:v>Concluído</x:v>
      </x:c>
      <x:c r="H1174" s="17" t="str">
        <x:v>Pago</x:v>
      </x:c>
      <x:c r="I1174" s="21" t="n">
        <x:v>511.77</x:v>
      </x:c>
    </x:row>
    <x:row r="1175" ht="24" hidden="0" customHeight="1">
      <x:c r="A1175" s="17" t="n">
        <x:v>1175</x:v>
      </x:c>
      <x:c r="B1175" s="17" t="str">
        <x:v>OP-1326</x:v>
      </x:c>
      <x:c r="C1175" s="17" t="str">
        <x:v>OS-6865</x:v>
      </x:c>
      <x:c r="D1175" s="17" t="str">
        <x:v>2026-07-05 03:30:00</x:v>
      </x:c>
      <x:c r="E1175" s="17" t="str">
        <x:v>Kenvue</x:v>
      </x:c>
      <x:c r="F1175" s="17" t="str">
        <x:v>Tamara Maria Pereira Maia - +55 12 97402-3686;
Viviane Correa Galvão de Castro Renno - (12) 98837-7161</x:v>
      </x:c>
      <x:c r="G1175" s="17" t="str">
        <x:v>Concluído</x:v>
      </x:c>
      <x:c r="H1175" s="17" t="str">
        <x:v>Pagamento Pendente</x:v>
      </x:c>
      <x:c r="I1175" s="21" t="n">
        <x:v>429.35</x:v>
      </x:c>
    </x:row>
    <x:row r="1176" ht="15" hidden="0" customHeight="1">
      <x:c r="A1176" s="17" t="n">
        <x:v>1176</x:v>
      </x:c>
      <x:c r="B1176" s="17" t="str">
        <x:v>OP-1324</x:v>
      </x:c>
      <x:c r="C1176" s="17" t="str">
        <x:v>OS-6770</x:v>
      </x:c>
      <x:c r="D1176" s="17" t="str">
        <x:v>2026-07-05 06:30:00</x:v>
      </x:c>
      <x:c r="E1176" s="17" t="str">
        <x:v>Johnson&amp;Johnson</x:v>
      </x:c>
      <x:c r="F1176" s="17" t="str">
        <x:v>Giulia do Lago - +55 (12) 98122-8114</x:v>
      </x:c>
      <x:c r="G1176" s="17" t="str">
        <x:v>Concluído</x:v>
      </x:c>
      <x:c r="H1176" s="17" t="str">
        <x:v>Pago</x:v>
      </x:c>
      <x:c r="I1176" s="21" t="n">
        <x:v>582.56</x:v>
      </x:c>
    </x:row>
    <x:row r="1177" ht="36" hidden="0" customHeight="1">
      <x:c r="A1177" s="17" t="n">
        <x:v>1177</x:v>
      </x:c>
      <x:c r="B1177" s="17" t="str">
        <x:v>OP-1318</x:v>
      </x:c>
      <x:c r="C1177" s="17" t="str">
        <x:v>OS-6759</x:v>
      </x:c>
      <x:c r="D1177" s="17" t="str">
        <x:v>2026-07-05 08:40:00</x:v>
      </x:c>
      <x:c r="E1177" s="17" t="str">
        <x:v>Johnson&amp;Johnson</x:v>
      </x:c>
      <x:c r="F1177" s="17" t="str">
        <x:v>Taysa Cristina de Oliveira  - (12) 98889-6236;
Paulo Cesar Garbuio Filho - (11) 96402-4378;
Simone Moraes - +55 (12) 99792-7309</x:v>
      </x:c>
      <x:c r="G1177" s="17" t="str">
        <x:v>Concluído</x:v>
      </x:c>
      <x:c r="H1177" s="17" t="str">
        <x:v>Pago</x:v>
      </x:c>
      <x:c r="I1177" s="21" t="n">
        <x:v>962.65</x:v>
      </x:c>
    </x:row>
    <x:row r="1178" ht="15" hidden="0" customHeight="1">
      <x:c r="A1178" s="17" t="n">
        <x:v>1178</x:v>
      </x:c>
      <x:c r="B1178" s="17" t="str">
        <x:v>OP-1327</x:v>
      </x:c>
      <x:c r="C1178" s="17" t="str">
        <x:v>OS-6774</x:v>
      </x:c>
      <x:c r="D1178" s="17" t="str">
        <x:v>2026-07-05 18:00:00</x:v>
      </x:c>
      <x:c r="E1178" s="17" t="str">
        <x:v>Kenvue</x:v>
      </x:c>
      <x:c r="F1178" s="17" t="str">
        <x:v>Simone Franco - +55 (11) 94521-4747</x:v>
      </x:c>
      <x:c r="G1178" s="17" t="str">
        <x:v>Concluído</x:v>
      </x:c>
      <x:c r="H1178" s="17" t="str">
        <x:v>Pago</x:v>
      </x:c>
      <x:c r="I1178" s="21" t="n">
        <x:v>1018.25</x:v>
      </x:c>
    </x:row>
    <x:row r="1179" ht="15" hidden="0" customHeight="1">
      <x:c r="A1179" s="17" t="n">
        <x:v>1179</x:v>
      </x:c>
      <x:c r="B1179" s="17" t="str">
        <x:v>OP-1328</x:v>
      </x:c>
      <x:c r="C1179" s="17" t="str">
        <x:v>OS-6952</x:v>
      </x:c>
      <x:c r="D1179" s="17" t="str">
        <x:v>2026-07-06 04:30:00</x:v>
      </x:c>
      <x:c r="E1179" s="17" t="str">
        <x:v>Janssen Cilag</x:v>
      </x:c>
      <x:c r="F1179" s="17" t="str">
        <x:v>Jéssica Nery - +55 19 98347-0590</x:v>
      </x:c>
      <x:c r="G1179" s="17" t="str">
        <x:v>Concluído</x:v>
      </x:c>
      <x:c r="H1179" s="17" t="str">
        <x:v>Pago</x:v>
      </x:c>
      <x:c r="I1179" s="21" t="n">
        <x:v>540.74</x:v>
      </x:c>
    </x:row>
    <x:row r="1180" ht="15" hidden="0" customHeight="1">
      <x:c r="A1180" s="17" t="n">
        <x:v>1180</x:v>
      </x:c>
      <x:c r="B1180" s="17" t="str">
        <x:v>OP-1329</x:v>
      </x:c>
      <x:c r="C1180" s="17" t="str">
        <x:v>OS-6863</x:v>
      </x:c>
      <x:c r="D1180" s="17" t="str">
        <x:v>2026-07-06 06:30:00</x:v>
      </x:c>
      <x:c r="E1180" s="17" t="str">
        <x:v>Johnson&amp;Johnson</x:v>
      </x:c>
      <x:c r="F1180" s="17" t="str">
        <x:v>Suresh Raman - indeterminado</x:v>
      </x:c>
      <x:c r="G1180" s="17" t="str">
        <x:v>Concluído</x:v>
      </x:c>
      <x:c r="H1180" s="17" t="str">
        <x:v>Pago</x:v>
      </x:c>
      <x:c r="I1180" s="21" t="n">
        <x:v>1117.43</x:v>
      </x:c>
    </x:row>
    <x:row r="1181" ht="15" hidden="0" customHeight="1">
      <x:c r="A1181" s="17" t="n">
        <x:v>1181</x:v>
      </x:c>
      <x:c r="B1181" s="17" t="str">
        <x:v>OP-1358</x:v>
      </x:c>
      <x:c r="C1181" s="17" t="str">
        <x:v>OS-6956</x:v>
      </x:c>
      <x:c r="D1181" s="17" t="str">
        <x:v>2026-07-06 06:30:00</x:v>
      </x:c>
      <x:c r="E1181" s="17" t="str">
        <x:v>Mckinsey</x:v>
      </x:c>
      <x:c r="F1181" s="17" t="str">
        <x:v>Mahsa Galiani - indeterminado</x:v>
      </x:c>
      <x:c r="G1181" s="17" t="str">
        <x:v>Concluído</x:v>
      </x:c>
      <x:c r="H1181" s="17" t="str">
        <x:v>Pagamento Pendente</x:v>
      </x:c>
      <x:c r="I1181" s="21" t="n">
        <x:v>713.56</x:v>
      </x:c>
    </x:row>
    <x:row r="1182" ht="15" hidden="0" customHeight="1">
      <x:c r="A1182" s="17" t="n">
        <x:v>1182</x:v>
      </x:c>
      <x:c r="B1182" s="17" t="str">
        <x:v>OP-1329</x:v>
      </x:c>
      <x:c r="C1182" s="17" t="str">
        <x:v>OS-6953</x:v>
      </x:c>
      <x:c r="D1182" s="17" t="str">
        <x:v>2026-07-06 09:40:00</x:v>
      </x:c>
      <x:c r="E1182" s="17" t="str">
        <x:v>Johnson&amp;Johnson</x:v>
      </x:c>
      <x:c r="F1182" s="17" t="str">
        <x:v>Jim Sarka - indeterminado</x:v>
      </x:c>
      <x:c r="G1182" s="17" t="str">
        <x:v>Concluído</x:v>
      </x:c>
      <x:c r="H1182" s="17" t="str">
        <x:v>Pago</x:v>
      </x:c>
      <x:c r="I1182" s="21" t="n">
        <x:v>1594.05</x:v>
      </x:c>
    </x:row>
    <x:row r="1183" ht="15" hidden="0" customHeight="1">
      <x:c r="A1183" s="17" t="n">
        <x:v>1183</x:v>
      </x:c>
      <x:c r="B1183" s="17" t="str">
        <x:v>OP-1329</x:v>
      </x:c>
      <x:c r="C1183" s="17" t="str">
        <x:v>OS-6954</x:v>
      </x:c>
      <x:c r="D1183" s="17" t="str">
        <x:v>2026-07-06 12:15:00</x:v>
      </x:c>
      <x:c r="E1183" s="17" t="str">
        <x:v>Johnson&amp;Johnson</x:v>
      </x:c>
      <x:c r="F1183" s="17" t="str">
        <x:v>Suresh Raman - indeterminado;</x:v>
      </x:c>
      <x:c r="G1183" s="17" t="str">
        <x:v>Concluído</x:v>
      </x:c>
      <x:c r="H1183" s="17" t="str">
        <x:v>Pago</x:v>
      </x:c>
      <x:c r="I1183" s="21" t="n">
        <x:v>354.11</x:v>
      </x:c>
    </x:row>
    <x:row r="1184" ht="15" hidden="0" customHeight="1">
      <x:c r="A1184" s="17" t="n">
        <x:v>1184</x:v>
      </x:c>
      <x:c r="B1184" s="17" t="str">
        <x:v>OP-1346</x:v>
      </x:c>
      <x:c r="C1184" s="17" t="str">
        <x:v>OS-6523</x:v>
      </x:c>
      <x:c r="D1184" s="17" t="str">
        <x:v>2026-07-06 13:45:00</x:v>
      </x:c>
      <x:c r="E1184" s="17" t="str">
        <x:v>Johnson&amp;Johnson</x:v>
      </x:c>
      <x:c r="F1184" s="17" t="str">
        <x:v>Lucas Medina - (12) 99652-0311</x:v>
      </x:c>
      <x:c r="G1184" s="17" t="str">
        <x:v>Concluído</x:v>
      </x:c>
      <x:c r="H1184" s="17" t="str">
        <x:v>Pago</x:v>
      </x:c>
      <x:c r="I1184" s="21" t="n">
        <x:v>442.98</x:v>
      </x:c>
    </x:row>
    <x:row r="1185" ht="36" hidden="0" customHeight="1">
      <x:c r="A1185" s="17" t="n">
        <x:v>1185</x:v>
      </x:c>
      <x:c r="B1185" s="17" t="str">
        <x:v>OP-1329</x:v>
      </x:c>
      <x:c r="C1185" s="17" t="str">
        <x:v>OS-6955</x:v>
      </x:c>
      <x:c r="D1185" s="17" t="str">
        <x:v>2026-07-06 17:30:00</x:v>
      </x:c>
      <x:c r="E1185" s="17" t="str">
        <x:v>Johnson&amp;Johnson</x:v>
      </x:c>
      <x:c r="F1185" s="17" t="str">
        <x:v>Suresh Raman - indeterminado;
Jim Sarka - indeterminado;
Juliana Nunes - indeterminado</x:v>
      </x:c>
      <x:c r="G1185" s="17" t="str">
        <x:v>Concluído</x:v>
      </x:c>
      <x:c r="H1185" s="17" t="str">
        <x:v>Pago</x:v>
      </x:c>
      <x:c r="I1185" s="21" t="n">
        <x:v>1047.75</x:v>
      </x:c>
    </x:row>
    <x:row r="1186" ht="15" hidden="0" customHeight="1">
      <x:c r="A1186" s="17" t="n">
        <x:v>1186</x:v>
      </x:c>
      <x:c r="B1186" s="17" t="str">
        <x:v>OP-1322</x:v>
      </x:c>
      <x:c r="C1186" s="17" t="str">
        <x:v>OS-6978</x:v>
      </x:c>
      <x:c r="D1186" s="17" t="str">
        <x:v>2026-07-07 04:00:00</x:v>
      </x:c>
      <x:c r="E1186" s="17" t="str">
        <x:v>Johnson&amp;Johnson</x:v>
      </x:c>
      <x:c r="F1186" s="17" t="str">
        <x:v>Roneide Oliveira - +55 12 98190-2010</x:v>
      </x:c>
      <x:c r="G1186" s="17" t="str">
        <x:v>Concluído</x:v>
      </x:c>
      <x:c r="H1186" s="17" t="str">
        <x:v>Pago</x:v>
      </x:c>
      <x:c r="I1186" s="21" t="n">
        <x:v>1332.55</x:v>
      </x:c>
    </x:row>
    <x:row r="1187" ht="15" hidden="0" customHeight="1">
      <x:c r="A1187" s="17" t="n">
        <x:v>1187</x:v>
      </x:c>
      <x:c r="B1187" s="17" t="str">
        <x:v>OP-1329</x:v>
      </x:c>
      <x:c r="C1187" s="17" t="str">
        <x:v>OS-6973</x:v>
      </x:c>
      <x:c r="D1187" s="17" t="str">
        <x:v>2026-07-07 07:30:00</x:v>
      </x:c>
      <x:c r="E1187" s="17" t="str">
        <x:v>Johnson&amp;Johnson</x:v>
      </x:c>
      <x:c r="F1187" s="17" t="str">
        <x:v>Juliana Nunes - indeterminado</x:v>
      </x:c>
      <x:c r="G1187" s="17" t="str">
        <x:v>Concluído</x:v>
      </x:c>
      <x:c r="H1187" s="17" t="str">
        <x:v>Pago</x:v>
      </x:c>
      <x:c r="I1187" s="21" t="n">
        <x:v>340.11</x:v>
      </x:c>
    </x:row>
    <x:row r="1188" ht="15" hidden="0" customHeight="1">
      <x:c r="A1188" s="17" t="n">
        <x:v>1188</x:v>
      </x:c>
      <x:c r="B1188" s="17" t="str">
        <x:v>OP-1358</x:v>
      </x:c>
      <x:c r="C1188" s="17" t="str">
        <x:v>OS-6992</x:v>
      </x:c>
      <x:c r="D1188" s="17" t="str">
        <x:v>2026-07-07 09:30:00</x:v>
      </x:c>
      <x:c r="E1188" s="17" t="str">
        <x:v>Mckinsey</x:v>
      </x:c>
      <x:c r="F1188" s="17" t="str">
        <x:v>Willian Bezerra - indeterminado</x:v>
      </x:c>
      <x:c r="G1188" s="17" t="str">
        <x:v>Concluído</x:v>
      </x:c>
      <x:c r="H1188" s="17" t="str">
        <x:v>Pagamento Pendente</x:v>
      </x:c>
      <x:c r="I1188" s="21" t="n">
        <x:v>576.42</x:v>
      </x:c>
    </x:row>
    <x:row r="1189" ht="24" hidden="0" customHeight="1">
      <x:c r="A1189" s="17" t="n">
        <x:v>1189</x:v>
      </x:c>
      <x:c r="B1189" s="17" t="str">
        <x:v>OP-1329</x:v>
      </x:c>
      <x:c r="C1189" s="17" t="str">
        <x:v>OS-6981</x:v>
      </x:c>
      <x:c r="D1189" s="17" t="str">
        <x:v>2026-07-07 11:00:00</x:v>
      </x:c>
      <x:c r="E1189" s="17" t="str">
        <x:v>Johnson&amp;Johnson</x:v>
      </x:c>
      <x:c r="F1189" s="17" t="str">
        <x:v>Suresh Raman - indeterminado;
Jim Sarka - indeterminado</x:v>
      </x:c>
      <x:c r="G1189" s="17" t="str">
        <x:v>Concluído</x:v>
      </x:c>
      <x:c r="H1189" s="17" t="str">
        <x:v>Pago</x:v>
      </x:c>
      <x:c r="I1189" s="21" t="n">
        <x:v>1050.43</x:v>
      </x:c>
    </x:row>
    <x:row r="1190" ht="15" hidden="0" customHeight="1">
      <x:c r="A1190" s="17" t="n">
        <x:v>1190</x:v>
      </x:c>
      <x:c r="B1190" s="17" t="str">
        <x:v>OP-1323</x:v>
      </x:c>
      <x:c r="C1190" s="17" t="str">
        <x:v>OS-6994</x:v>
      </x:c>
      <x:c r="D1190" s="17" t="str">
        <x:v>2026-07-07 23:00:00</x:v>
      </x:c>
      <x:c r="E1190" s="17" t="str">
        <x:v>Johnson&amp;Johnson</x:v>
      </x:c>
      <x:c r="F1190" s="17" t="str">
        <x:v>Laura Figueiredo Santos - indeterminado</x:v>
      </x:c>
      <x:c r="G1190" s="17" t="str">
        <x:v>Concluído</x:v>
      </x:c>
      <x:c r="H1190" s="17" t="str">
        <x:v>Pago</x:v>
      </x:c>
      <x:c r="I1190" s="21" t="n">
        <x:v>216.72</x:v>
      </x:c>
    </x:row>
    <x:row r="1191" ht="15" hidden="0" customHeight="1">
      <x:c r="A1191" s="17" t="n">
        <x:v>1191</x:v>
      </x:c>
      <x:c r="B1191" s="17" t="str">
        <x:v>OP-1323</x:v>
      </x:c>
      <x:c r="C1191" s="17" t="str">
        <x:v>OS-6979</x:v>
      </x:c>
      <x:c r="D1191" s="17" t="str">
        <x:v>2026-07-08 15:30:00</x:v>
      </x:c>
      <x:c r="E1191" s="17" t="str">
        <x:v>Johnson&amp;Johnson</x:v>
      </x:c>
      <x:c r="F1191" s="17" t="str">
        <x:v>Laura Figueiredo Santos - indeterminado</x:v>
      </x:c>
      <x:c r="G1191" s="17" t="str">
        <x:v>Concluído</x:v>
      </x:c>
      <x:c r="H1191" s="17" t="str">
        <x:v>Pago</x:v>
      </x:c>
      <x:c r="I1191" s="21" t="n">
        <x:v>620.49</x:v>
      </x:c>
    </x:row>
    <x:row r="1192" ht="15" hidden="0" customHeight="1">
      <x:c r="A1192" s="17" t="n">
        <x:v>1192</x:v>
      </x:c>
      <x:c r="B1192" s="17" t="str">
        <x:v>OP-1358</x:v>
      </x:c>
      <x:c r="C1192" s="17" t="str">
        <x:v>OS-6993</x:v>
      </x:c>
      <x:c r="D1192" s="17" t="str">
        <x:v>2026-07-08 18:00:00</x:v>
      </x:c>
      <x:c r="E1192" s="17" t="str">
        <x:v>Mckinsey</x:v>
      </x:c>
      <x:c r="F1192" s="17" t="str">
        <x:v>Willian Bezerra - indeterminado</x:v>
      </x:c>
      <x:c r="G1192" s="17" t="str">
        <x:v>Concluído</x:v>
      </x:c>
      <x:c r="H1192" s="17" t="str">
        <x:v>Pagamento Pendente</x:v>
      </x:c>
      <x:c r="I1192" s="21" t="n">
        <x:v>825.98</x:v>
      </x:c>
    </x:row>
    <x:row r="1193" ht="15" hidden="0" customHeight="1">
      <x:c r="A1193" s="17" t="n">
        <x:v>1193</x:v>
      </x:c>
      <x:c r="B1193" s="17" t="str">
        <x:v>OP-1324</x:v>
      </x:c>
      <x:c r="C1193" s="17" t="str">
        <x:v>OS-6771</x:v>
      </x:c>
      <x:c r="D1193" s="17" t="str">
        <x:v>2026-07-08 19:40:00</x:v>
      </x:c>
      <x:c r="E1193" s="17" t="str">
        <x:v>Johnson&amp;Johnson</x:v>
      </x:c>
      <x:c r="F1193" s="17" t="str">
        <x:v>Giulia do Lago - +55 (12) 98122-8114</x:v>
      </x:c>
      <x:c r="G1193" s="17" t="str">
        <x:v>Concluído</x:v>
      </x:c>
      <x:c r="H1193" s="17" t="str">
        <x:v>Pago</x:v>
      </x:c>
      <x:c r="I1193" s="21" t="n">
        <x:v>649.56</x:v>
      </x:c>
    </x:row>
    <x:row r="1194" ht="36" hidden="0" customHeight="1">
      <x:c r="A1194" s="17" t="n">
        <x:v>1194</x:v>
      </x:c>
      <x:c r="B1194" s="17" t="str">
        <x:v>OP-1359</x:v>
      </x:c>
      <x:c r="C1194" s="17" t="str">
        <x:v>OS-6796</x:v>
      </x:c>
      <x:c r="D1194" s="17" t="str">
        <x:v>2026-07-09 07:30:00</x:v>
      </x:c>
      <x:c r="E1194" s="17" t="str">
        <x:v>Johnson&amp;Johnson</x:v>
      </x:c>
      <x:c r="F1194" s="17" t="str">
        <x:v>David Nield - indeterminado;
Ray Nordmeyer - indeterminado;
Lucas Lopez - indeterminado</x:v>
      </x:c>
      <x:c r="G1194" s="17" t="str">
        <x:v>Concluído</x:v>
      </x:c>
      <x:c r="H1194" s="17" t="str">
        <x:v>Pagamento Pendente</x:v>
      </x:c>
      <x:c r="I1194" s="21" t="n">
        <x:v>576.42</x:v>
      </x:c>
    </x:row>
    <x:row r="1195" ht="15" hidden="0" customHeight="1">
      <x:c r="A1195" s="17" t="n">
        <x:v>1195</x:v>
      </x:c>
      <x:c r="B1195" s="17" t="str">
        <x:v>OP-1352</x:v>
      </x:c>
      <x:c r="C1195" s="17" t="str">
        <x:v>OS-6890</x:v>
      </x:c>
      <x:c r="D1195" s="17" t="str">
        <x:v>2026-07-09 20:15:00</x:v>
      </x:c>
      <x:c r="E1195" s="17" t="str">
        <x:v>Johnson&amp;Johnson</x:v>
      </x:c>
      <x:c r="F1195" s="17" t="str">
        <x:v>Sheyla Francisca Santos Braccini - +55 11 97240 9096</x:v>
      </x:c>
      <x:c r="G1195" s="17" t="str">
        <x:v>Concluído</x:v>
      </x:c>
      <x:c r="H1195" s="17" t="str">
        <x:v>Pagamento Pendente</x:v>
      </x:c>
      <x:c r="I1195" s="21" t="n">
        <x:v>1116.9</x:v>
      </x:c>
    </x:row>
    <x:row r="1196" ht="15" hidden="0" customHeight="1">
      <x:c r="A1196" s="17" t="n">
        <x:v>1196</x:v>
      </x:c>
      <x:c r="B1196" s="17" t="str">
        <x:v>OP-1327</x:v>
      </x:c>
      <x:c r="C1196" s="17" t="str">
        <x:v>OS-6775</x:v>
      </x:c>
      <x:c r="D1196" s="17" t="str">
        <x:v>2026-07-10 07:10:00</x:v>
      </x:c>
      <x:c r="E1196" s="17" t="str">
        <x:v>Kenvue</x:v>
      </x:c>
      <x:c r="F1196" s="17" t="str">
        <x:v>Simone Franco - +55 (11) 94521-4747</x:v>
      </x:c>
      <x:c r="G1196" s="17" t="str">
        <x:v>Concluído</x:v>
      </x:c>
      <x:c r="H1196" s="17" t="str">
        <x:v>Pago</x:v>
      </x:c>
      <x:c r="I1196" s="21" t="n">
        <x:v>1085.25</x:v>
      </x:c>
    </x:row>
    <x:row r="1197" ht="36" hidden="0" customHeight="1">
      <x:c r="A1197" s="17" t="n">
        <x:v>1197</x:v>
      </x:c>
      <x:c r="B1197" s="17" t="str">
        <x:v>OP-1359</x:v>
      </x:c>
      <x:c r="C1197" s="17" t="str">
        <x:v>OS-6798</x:v>
      </x:c>
      <x:c r="D1197" s="17" t="str">
        <x:v>2026-07-10 07:30:00</x:v>
      </x:c>
      <x:c r="E1197" s="17" t="str">
        <x:v>Johnson&amp;Johnson</x:v>
      </x:c>
      <x:c r="F1197" s="17" t="str">
        <x:v>David Nield - indeterminado;
Ray Nordmeyer - indeterminado;
Lucas Lopez - indeterminado</x:v>
      </x:c>
      <x:c r="G1197" s="17" t="str">
        <x:v>Concluído</x:v>
      </x:c>
      <x:c r="H1197" s="17" t="str">
        <x:v>Pagamento Pendente</x:v>
      </x:c>
      <x:c r="I1197" s="21" t="n">
        <x:v>174.51</x:v>
      </x:c>
    </x:row>
    <x:row r="1198" ht="36" hidden="0" customHeight="1">
      <x:c r="A1198" s="17" t="n">
        <x:v>1198</x:v>
      </x:c>
      <x:c r="B1198" s="17" t="str">
        <x:v>OP-1359</x:v>
      </x:c>
      <x:c r="C1198" s="17" t="str">
        <x:v>OS-6808</x:v>
      </x:c>
      <x:c r="D1198" s="17" t="str">
        <x:v>2026-07-10 17:00:00</x:v>
      </x:c>
      <x:c r="E1198" s="17" t="str">
        <x:v>Johnson&amp;Johnson</x:v>
      </x:c>
      <x:c r="F1198" s="17" t="str">
        <x:v>David Nield - indeterminado;
Ray Nordmeyer - indeterminado;
Lucas Lopez - indeterminado</x:v>
      </x:c>
      <x:c r="G1198" s="17" t="str">
        <x:v>Concluído</x:v>
      </x:c>
      <x:c r="H1198" s="17" t="str">
        <x:v>Pagamento Pendente</x:v>
      </x:c>
      <x:c r="I1198" s="21" t="n">
        <x:v>160.51</x:v>
      </x:c>
    </x:row>
    <x:row r="1199" ht="15" hidden="0" customHeight="1">
      <x:c r="A1199" s="17" t="n">
        <x:v>1199</x:v>
      </x:c>
      <x:c r="B1199" s="17" t="str">
        <x:v>OP-1328</x:v>
      </x:c>
      <x:c r="C1199" s="17" t="str">
        <x:v>OS-7061</x:v>
      </x:c>
      <x:c r="D1199" s="17" t="str">
        <x:v>2026-07-11 05:30:00</x:v>
      </x:c>
      <x:c r="E1199" s="17" t="str">
        <x:v>Janssen Cilag</x:v>
      </x:c>
      <x:c r="F1199" s="17" t="str">
        <x:v>Jéssica Nery - +55 19 98347-0590</x:v>
      </x:c>
      <x:c r="G1199" s="17" t="str">
        <x:v>Concluído</x:v>
      </x:c>
      <x:c r="H1199" s="17" t="str">
        <x:v>Pago</x:v>
      </x:c>
      <x:c r="I1199" s="21" t="n">
        <x:v>509.98</x:v>
      </x:c>
    </x:row>
    <x:row r="1200" ht="36" hidden="0" customHeight="1">
      <x:c r="A1200" s="17" t="n">
        <x:v>1200</x:v>
      </x:c>
      <x:c r="B1200" s="17" t="str">
        <x:v>OP-1331</x:v>
      </x:c>
      <x:c r="C1200" s="17" t="str">
        <x:v>OS-6469</x:v>
      </x:c>
      <x:c r="D1200" s="17" t="str">
        <x:v>2026-07-11 07:15:00</x:v>
      </x:c>
      <x:c r="E1200" s="17" t="str">
        <x:v>Johnson&amp;Johnson</x:v>
      </x:c>
      <x:c r="F1200" s="17" t="str">
        <x:v>Diego Gonçalves da Silva - +55 (12) 98133-3381;
André Luis Ferreira dos Santos - +55 (12) 99782-6618;
Genésio Matias de Souza - (12) 99764-5159</x:v>
      </x:c>
      <x:c r="G1200" s="17" t="str">
        <x:v>Concluído</x:v>
      </x:c>
      <x:c r="H1200" s="17" t="str">
        <x:v>Pagamento Pendente</x:v>
      </x:c>
      <x:c r="I1200" s="21" t="n">
        <x:v>747.32</x:v>
      </x:c>
    </x:row>
    <x:row r="1201" ht="15" hidden="0" customHeight="1">
      <x:c r="A1201" s="17" t="n">
        <x:v>1201</x:v>
      </x:c>
      <x:c r="B1201" s="17" t="str">
        <x:v>OP-1335</x:v>
      </x:c>
      <x:c r="C1201" s="17" t="str">
        <x:v>OS-6659</x:v>
      </x:c>
      <x:c r="D1201" s="17" t="str">
        <x:v>2026-07-11 17:00:00</x:v>
      </x:c>
      <x:c r="E1201" s="17" t="str">
        <x:v>Johnson&amp;Johnson</x:v>
      </x:c>
      <x:c r="F1201" s="17" t="str">
        <x:v>Monica Nakamura - +55 (12) 98816-8754</x:v>
      </x:c>
      <x:c r="G1201" s="17" t="str">
        <x:v>Concluído</x:v>
      </x:c>
      <x:c r="H1201" s="17" t="str">
        <x:v>Pagamento Pendente</x:v>
      </x:c>
      <x:c r="I1201" s="21" t="n">
        <x:v>442.98</x:v>
      </x:c>
    </x:row>
    <x:row r="1202" ht="24" hidden="0" customHeight="1">
      <x:c r="A1202" s="17" t="n">
        <x:v>1202</x:v>
      </x:c>
      <x:c r="B1202" s="17" t="str">
        <x:v>OP-1326</x:v>
      </x:c>
      <x:c r="C1202" s="17" t="str">
        <x:v>OS-6866</x:v>
      </x:c>
      <x:c r="D1202" s="17" t="str">
        <x:v>2026-07-12 05:30:00</x:v>
      </x:c>
      <x:c r="E1202" s="17" t="str">
        <x:v>Kenvue</x:v>
      </x:c>
      <x:c r="F1202" s="17" t="str">
        <x:v>Tamara Maria Pereira Maia - +55 12 97402-3686;
Viviane Correa Galvão de Castro Renno - (12) 98837-7161</x:v>
      </x:c>
      <x:c r="G1202" s="17" t="str">
        <x:v>Concluído</x:v>
      </x:c>
      <x:c r="H1202" s="17" t="str">
        <x:v>Pagamento Pendente</x:v>
      </x:c>
      <x:c r="I1202" s="21" t="n">
        <x:v>496.35</x:v>
      </x:c>
    </x:row>
    <x:row r="1203" ht="15" hidden="0" customHeight="1">
      <x:c r="A1203" s="17" t="n">
        <x:v>1203</x:v>
      </x:c>
      <x:c r="B1203" s="17" t="str">
        <x:v>OP-1325</x:v>
      </x:c>
      <x:c r="C1203" s="17" t="str">
        <x:v>OS-5283</x:v>
      </x:c>
      <x:c r="D1203" s="17" t="str">
        <x:v>2026-07-12 07:10:00</x:v>
      </x:c>
      <x:c r="E1203" s="17" t="str">
        <x:v>Boeing</x:v>
      </x:c>
      <x:c r="F1203" s="17" t="str">
        <x:v>Barbara Marcucci Sansonio - (47) 99149-9185</x:v>
      </x:c>
      <x:c r="G1203" s="17" t="str">
        <x:v>Concluído</x:v>
      </x:c>
      <x:c r="H1203" s="17" t="str">
        <x:v>Pago</x:v>
      </x:c>
      <x:c r="I1203" s="21" t="n">
        <x:v>571.61</x:v>
      </x:c>
    </x:row>
    <x:row r="1204" ht="15" hidden="0" customHeight="1">
      <x:c r="A1204" s="17" t="n">
        <x:v>1204</x:v>
      </x:c>
      <x:c r="B1204" s="17" t="str">
        <x:v>OP-1343</x:v>
      </x:c>
      <x:c r="C1204" s="17" t="str">
        <x:v>OS-7058</x:v>
      </x:c>
      <x:c r="D1204" s="17" t="str">
        <x:v>2026-07-12 15:00:00</x:v>
      </x:c>
      <x:c r="E1204" s="17" t="str">
        <x:v>Johnson&amp;Johnson</x:v>
      </x:c>
      <x:c r="F1204" s="17" t="str">
        <x:v>Gabriela Junqueira da Silva - +5512981174389</x:v>
      </x:c>
      <x:c r="G1204" s="17" t="str">
        <x:v>Concluído</x:v>
      </x:c>
      <x:c r="H1204" s="17" t="str">
        <x:v>Pago</x:v>
      </x:c>
      <x:c r="I1204" s="21" t="n">
        <x:v>442.98</x:v>
      </x:c>
    </x:row>
    <x:row r="1205" ht="15" hidden="0" customHeight="1">
      <x:c r="A1205" s="17" t="n">
        <x:v>1205</x:v>
      </x:c>
      <x:c r="B1205" s="17" t="str">
        <x:v>OP-1348</x:v>
      </x:c>
      <x:c r="C1205" s="17" t="str">
        <x:v>OS-6982</x:v>
      </x:c>
      <x:c r="D1205" s="17" t="str">
        <x:v>2026-07-12 18:00:00</x:v>
      </x:c>
      <x:c r="E1205" s="17" t="str">
        <x:v>Johnson&amp;Johnson</x:v>
      </x:c>
      <x:c r="F1205" s="17" t="str">
        <x:v>Mateus Montemor - +55 (12) 99614-9949</x:v>
      </x:c>
      <x:c r="G1205" s="17" t="str">
        <x:v>Concluído</x:v>
      </x:c>
      <x:c r="H1205" s="17" t="str">
        <x:v>Pago</x:v>
      </x:c>
      <x:c r="I1205" s="21" t="n">
        <x:v>491.86</x:v>
      </x:c>
    </x:row>
    <x:row r="1206" ht="15" hidden="0" customHeight="1">
      <x:c r="A1206" s="17" t="n">
        <x:v>1206</x:v>
      </x:c>
      <x:c r="B1206" s="17" t="str">
        <x:v>OP-1347</x:v>
      </x:c>
      <x:c r="C1206" s="17" t="str">
        <x:v>OS-7073</x:v>
      </x:c>
      <x:c r="D1206" s="17" t="str">
        <x:v>2026-07-12 18:30:00</x:v>
      </x:c>
      <x:c r="E1206" s="17" t="str">
        <x:v>Johnson&amp;Johnson</x:v>
      </x:c>
      <x:c r="F1206" s="17" t="str">
        <x:v>Thais Figueiredo - +55 12 98867-4932</x:v>
      </x:c>
      <x:c r="G1206" s="17" t="str">
        <x:v>Concluído</x:v>
      </x:c>
      <x:c r="H1206" s="17" t="str">
        <x:v>Pago</x:v>
      </x:c>
      <x:c r="I1206" s="21" t="n">
        <x:v>442.98</x:v>
      </x:c>
    </x:row>
    <x:row r="1207" ht="36" hidden="0" customHeight="1">
      <x:c r="A1207" s="17" t="n">
        <x:v>1207</x:v>
      </x:c>
      <x:c r="B1207" s="17" t="str">
        <x:v>OP-1330</x:v>
      </x:c>
      <x:c r="C1207" s="17" t="str">
        <x:v>OS-7053</x:v>
      </x:c>
      <x:c r="D1207" s="17" t="str">
        <x:v>2026-07-13 03:30:00</x:v>
      </x:c>
      <x:c r="E1207" s="17" t="str">
        <x:v>Johnson&amp;Johnson</x:v>
      </x:c>
      <x:c r="F1207" s="17" t="str">
        <x:v>Paulo Cesar Garbuio Filho - ((11) 96402-4378;
Taysa Cristina de Oliveira - 12988896236;
Simone Moraes - +55 12 99792-7309</x:v>
      </x:c>
      <x:c r="G1207" s="17" t="str">
        <x:v>Concluído</x:v>
      </x:c>
      <x:c r="H1207" s="17" t="str">
        <x:v>Pago</x:v>
      </x:c>
      <x:c r="I1207" s="21" t="n">
        <x:v>540.74</x:v>
      </x:c>
    </x:row>
    <x:row r="1208" ht="24" hidden="0" customHeight="1">
      <x:c r="A1208" s="17" t="n">
        <x:v>1208</x:v>
      </x:c>
      <x:c r="B1208" s="17" t="str">
        <x:v>OP-1349</x:v>
      </x:c>
      <x:c r="C1208" s="17" t="str">
        <x:v>OS-7039</x:v>
      </x:c>
      <x:c r="D1208" s="17" t="str">
        <x:v>2026-07-13 05:00:00</x:v>
      </x:c>
      <x:c r="E1208" s="17" t="str">
        <x:v>Johnson&amp;Johnson</x:v>
      </x:c>
      <x:c r="F1208" s="17" t="str">
        <x:v>Gabriela Gonçalves Marchesi - (35) 98815-8015;
Gislaine Cruz - +55 12 99719 1425</x:v>
      </x:c>
      <x:c r="G1208" s="17" t="str">
        <x:v>Concluído</x:v>
      </x:c>
      <x:c r="H1208" s="17" t="str">
        <x:v>Pago</x:v>
      </x:c>
      <x:c r="I1208" s="21" t="n">
        <x:v>491.86</x:v>
      </x:c>
    </x:row>
    <x:row r="1209" ht="15" hidden="0" customHeight="1">
      <x:c r="A1209" s="17" t="n">
        <x:v>1209</x:v>
      </x:c>
      <x:c r="B1209" s="17" t="str">
        <x:v>OP-1333</x:v>
      </x:c>
      <x:c r="C1209" s="17" t="str">
        <x:v>OS-7056</x:v>
      </x:c>
      <x:c r="D1209" s="17" t="str">
        <x:v>2026-07-13 05:00:00</x:v>
      </x:c>
      <x:c r="E1209" s="17" t="str">
        <x:v>Particular</x:v>
      </x:c>
      <x:c r="F1209" s="17" t="str">
        <x:v>Jay Beaver</x:v>
      </x:c>
      <x:c r="G1209" s="17" t="str">
        <x:v>Concluído</x:v>
      </x:c>
      <x:c r="H1209" s="17" t="str">
        <x:v>Pago</x:v>
      </x:c>
      <x:c r="I1209" s="21" t="n">
        <x:v>576.42</x:v>
      </x:c>
    </x:row>
    <x:row r="1210" ht="15" hidden="0" customHeight="1">
      <x:c r="A1210" s="17" t="n">
        <x:v>1210</x:v>
      </x:c>
      <x:c r="B1210" s="17" t="str">
        <x:v>OP-1337</x:v>
      </x:c>
      <x:c r="C1210" s="17" t="str">
        <x:v>OS-6990</x:v>
      </x:c>
      <x:c r="D1210" s="17" t="str">
        <x:v>2026-07-13 05:20:00</x:v>
      </x:c>
      <x:c r="E1210" s="17" t="str">
        <x:v>Kenvue</x:v>
      </x:c>
      <x:c r="F1210" s="17" t="str">
        <x:v>Dinora Diaz Toledo - +525552171761</x:v>
      </x:c>
      <x:c r="G1210" s="17" t="str">
        <x:v>Concluído</x:v>
      </x:c>
      <x:c r="H1210" s="17" t="str">
        <x:v>Pago</x:v>
      </x:c>
      <x:c r="I1210" s="21" t="n">
        <x:v>713.07</x:v>
      </x:c>
    </x:row>
    <x:row r="1211" ht="15" hidden="0" customHeight="1">
      <x:c r="A1211" s="17" t="n">
        <x:v>1211</x:v>
      </x:c>
      <x:c r="B1211" s="17" t="str">
        <x:v>OP-1358</x:v>
      </x:c>
      <x:c r="C1211" s="17" t="str">
        <x:v>OS-7074</x:v>
      </x:c>
      <x:c r="D1211" s="17" t="str">
        <x:v>2026-07-13 05:45:00</x:v>
      </x:c>
      <x:c r="E1211" s="17" t="str">
        <x:v>Mckinsey</x:v>
      </x:c>
      <x:c r="F1211" s="17" t="str">
        <x:v>Willian Bezerra - indeterminado</x:v>
      </x:c>
      <x:c r="G1211" s="17" t="str">
        <x:v>Concluído</x:v>
      </x:c>
      <x:c r="H1211" s="17" t="str">
        <x:v>Pagamento Pendente</x:v>
      </x:c>
      <x:c r="I1211" s="21" t="n">
        <x:v>713.56</x:v>
      </x:c>
    </x:row>
    <x:row r="1212" ht="36" hidden="0" customHeight="1">
      <x:c r="A1212" s="17" t="n">
        <x:v>1212</x:v>
      </x:c>
      <x:c r="B1212" s="17" t="str">
        <x:v>OP-1359</x:v>
      </x:c>
      <x:c r="C1212" s="17" t="str">
        <x:v>OS-6799</x:v>
      </x:c>
      <x:c r="D1212" s="17" t="str">
        <x:v>2026-07-13 07:15:00</x:v>
      </x:c>
      <x:c r="E1212" s="17" t="str">
        <x:v>Johnson&amp;Johnson</x:v>
      </x:c>
      <x:c r="F1212" s="17" t="str">
        <x:v>David Nield - indeterminado;
Ray Nordmeyer - indeterminado;
Lucas Lopez - indeterminado</x:v>
      </x:c>
      <x:c r="G1212" s="17" t="str">
        <x:v>Concluído</x:v>
      </x:c>
      <x:c r="H1212" s="17" t="str">
        <x:v>Pagamento Pendente</x:v>
      </x:c>
      <x:c r="I1212" s="21" t="n">
        <x:v>174.51</x:v>
      </x:c>
    </x:row>
    <x:row r="1213" ht="15" hidden="0" customHeight="1">
      <x:c r="A1213" s="17" t="n">
        <x:v>1213</x:v>
      </x:c>
      <x:c r="B1213" s="17" t="str">
        <x:v>OP-1357</x:v>
      </x:c>
      <x:c r="C1213" s="17" t="str">
        <x:v>OS-6986</x:v>
      </x:c>
      <x:c r="D1213" s="17" t="str">
        <x:v>2026-07-13 08:00:00</x:v>
      </x:c>
      <x:c r="E1213" s="17" t="str">
        <x:v>Particular</x:v>
      </x:c>
      <x:c r="F1213" s="17" t="str">
        <x:v>Erica Baldini - +1 (720) 503-7490</x:v>
      </x:c>
      <x:c r="G1213" s="17" t="str">
        <x:v>Concluído</x:v>
      </x:c>
      <x:c r="H1213" s="17" t="str">
        <x:v>Pago</x:v>
      </x:c>
      <x:c r="I1213" s="21" t="n">
        <x:v>795</x:v>
      </x:c>
    </x:row>
    <x:row r="1214" ht="36" hidden="0" customHeight="1">
      <x:c r="A1214" s="17" t="n">
        <x:v>1214</x:v>
      </x:c>
      <x:c r="B1214" s="17" t="str">
        <x:v>OP-1330</x:v>
      </x:c>
      <x:c r="C1214" s="17" t="str">
        <x:v>OS-7054</x:v>
      </x:c>
      <x:c r="D1214" s="17" t="str">
        <x:v>2026-07-13 14:40:00</x:v>
      </x:c>
      <x:c r="E1214" s="17" t="str">
        <x:v>Johnson&amp;Johnson</x:v>
      </x:c>
      <x:c r="F1214" s="17" t="str">
        <x:v>Simone Moraes - +55 12 99792-7309;
Paulo Cesar Garbuio Filho - ((11) 96402-4378;
Taysa Cristina de Oliveira - 12988896236</x:v>
      </x:c>
      <x:c r="G1214" s="17" t="str">
        <x:v>Concluído</x:v>
      </x:c>
      <x:c r="H1214" s="17" t="str">
        <x:v>Pago</x:v>
      </x:c>
      <x:c r="I1214" s="21" t="n">
        <x:v>607.74</x:v>
      </x:c>
    </x:row>
    <x:row r="1215" ht="36" hidden="0" customHeight="1">
      <x:c r="A1215" s="17" t="n">
        <x:v>1215</x:v>
      </x:c>
      <x:c r="B1215" s="17" t="str">
        <x:v>OP-1359</x:v>
      </x:c>
      <x:c r="C1215" s="17" t="str">
        <x:v>OS-6809</x:v>
      </x:c>
      <x:c r="D1215" s="17" t="str">
        <x:v>2026-07-13 15:00:00</x:v>
      </x:c>
      <x:c r="E1215" s="17" t="str">
        <x:v>Johnson&amp;Johnson</x:v>
      </x:c>
      <x:c r="F1215" s="17" t="str">
        <x:v>David Nield - indeterminado;
Ray Nordmeyer - indeterminado;
Lucas Lopez - indeterminado</x:v>
      </x:c>
      <x:c r="G1215" s="17" t="str">
        <x:v>Concluído</x:v>
      </x:c>
      <x:c r="H1215" s="17" t="str">
        <x:v>Pagamento Pendente</x:v>
      </x:c>
      <x:c r="I1215" s="21" t="n">
        <x:v>433.44</x:v>
      </x:c>
    </x:row>
    <x:row r="1216" ht="36" hidden="0" customHeight="1">
      <x:c r="A1216" s="17" t="n">
        <x:v>1216</x:v>
      </x:c>
      <x:c r="B1216" s="17" t="str">
        <x:v>OP-1359</x:v>
      </x:c>
      <x:c r="C1216" s="17" t="str">
        <x:v>OS-6800</x:v>
      </x:c>
      <x:c r="D1216" s="17" t="str">
        <x:v>2026-07-14 07:30:00</x:v>
      </x:c>
      <x:c r="E1216" s="17" t="str">
        <x:v>Johnson&amp;Johnson</x:v>
      </x:c>
      <x:c r="F1216" s="17" t="str">
        <x:v>David Nield - indeterminado;
Ray Nordmeyer - indeterminado;
Lucas Lopez - indeterminado</x:v>
      </x:c>
      <x:c r="G1216" s="17" t="str">
        <x:v>Concluído</x:v>
      </x:c>
      <x:c r="H1216" s="17" t="str">
        <x:v>Pagamento Pendente</x:v>
      </x:c>
      <x:c r="I1216" s="21" t="n">
        <x:v>174.51</x:v>
      </x:c>
    </x:row>
    <x:row r="1217" ht="15" hidden="0" customHeight="1">
      <x:c r="A1217" s="17" t="n">
        <x:v>1217</x:v>
      </x:c>
      <x:c r="B1217" s="17" t="str">
        <x:v>OP-1358</x:v>
      </x:c>
      <x:c r="C1217" s="17" t="str">
        <x:v>OS-7098</x:v>
      </x:c>
      <x:c r="D1217" s="17" t="str">
        <x:v>2026-07-14 10:00:00</x:v>
      </x:c>
      <x:c r="E1217" s="17" t="str">
        <x:v>Mckinsey</x:v>
      </x:c>
      <x:c r="F1217" s="17" t="str">
        <x:v>Mahsa Galiani</x:v>
      </x:c>
      <x:c r="G1217" s="17" t="str">
        <x:v>Concluído</x:v>
      </x:c>
      <x:c r="H1217" s="17" t="str">
        <x:v>Pagamento Pendente</x:v>
      </x:c>
      <x:c r="I1217" s="21" t="n">
        <x:v>576.42</x:v>
      </x:c>
    </x:row>
    <x:row r="1218" ht="15" hidden="0" customHeight="1">
      <x:c r="A1218" s="17" t="n">
        <x:v>1218</x:v>
      </x:c>
      <x:c r="B1218" s="17" t="str">
        <x:v>OP-1356</x:v>
      </x:c>
      <x:c r="C1218" s="17" t="str">
        <x:v>OS-7105</x:v>
      </x:c>
      <x:c r="D1218" s="17" t="str">
        <x:v>2026-07-14 12:15:00</x:v>
      </x:c>
      <x:c r="E1218" s="17" t="str">
        <x:v>Particular</x:v>
      </x:c>
      <x:c r="F1218" s="17" t="str">
        <x:v>Sra. Angela Oliveira - +55 11 98134-8101</x:v>
      </x:c>
      <x:c r="G1218" s="17" t="str">
        <x:v>Concluído</x:v>
      </x:c>
      <x:c r="H1218" s="17" t="str">
        <x:v>Pago</x:v>
      </x:c>
      <x:c r="I1218" s="21" t="n">
        <x:v>987.26</x:v>
      </x:c>
    </x:row>
    <x:row r="1219" ht="15" hidden="0" customHeight="1">
      <x:c r="A1219" s="17" t="n">
        <x:v>1219</x:v>
      </x:c>
      <x:c r="B1219" s="17" t="str">
        <x:v>OP-1332</x:v>
      </x:c>
      <x:c r="C1219" s="17" t="str">
        <x:v>OS-7126</x:v>
      </x:c>
      <x:c r="D1219" s="17" t="str">
        <x:v>2026-07-14 14:00:00</x:v>
      </x:c>
      <x:c r="E1219" s="17" t="str">
        <x:v>Johnson&amp;Johnson</x:v>
      </x:c>
      <x:c r="F1219" s="17" t="str">
        <x:v>Janaina - +55 11 98443-8685</x:v>
      </x:c>
      <x:c r="G1219" s="17" t="str">
        <x:v>Concluído</x:v>
      </x:c>
      <x:c r="H1219" s="17" t="str">
        <x:v>Pago</x:v>
      </x:c>
      <x:c r="I1219" s="21" t="n">
        <x:v>253.79</x:v>
      </x:c>
    </x:row>
    <x:row r="1220" ht="36" hidden="0" customHeight="1">
      <x:c r="A1220" s="17" t="n">
        <x:v>1220</x:v>
      </x:c>
      <x:c r="B1220" s="17" t="str">
        <x:v>OP-1359</x:v>
      </x:c>
      <x:c r="C1220" s="17" t="str">
        <x:v>OS-6810</x:v>
      </x:c>
      <x:c r="D1220" s="17" t="str">
        <x:v>2026-07-14 16:30:00</x:v>
      </x:c>
      <x:c r="E1220" s="17" t="str">
        <x:v>Johnson&amp;Johnson</x:v>
      </x:c>
      <x:c r="F1220" s="17" t="str">
        <x:v>David Nield - indeterminado;
Ray Nordmeyer - indeterminado;
Lucas Lopez - indeterminado</x:v>
      </x:c>
      <x:c r="G1220" s="17" t="str">
        <x:v>Concluído</x:v>
      </x:c>
      <x:c r="H1220" s="17" t="str">
        <x:v>Pagamento Pendente</x:v>
      </x:c>
      <x:c r="I1220" s="21" t="n">
        <x:v>160.51</x:v>
      </x:c>
    </x:row>
    <x:row r="1221" ht="24" hidden="0" customHeight="1">
      <x:c r="A1221" s="17" t="n">
        <x:v>1221</x:v>
      </x:c>
      <x:c r="B1221" s="17" t="str">
        <x:v>OP-1334</x:v>
      </x:c>
      <x:c r="C1221" s="17" t="str">
        <x:v>OS-7010</x:v>
      </x:c>
      <x:c r="D1221" s="17" t="str">
        <x:v>2026-07-15 05:20:00</x:v>
      </x:c>
      <x:c r="E1221" s="17" t="str">
        <x:v>Particular</x:v>
      </x:c>
      <x:c r="F1221" s="17" t="str">
        <x:v>Hubert Lettnet - +491624400639;
Robert Lettner - +491728446869</x:v>
      </x:c>
      <x:c r="G1221" s="17" t="str">
        <x:v>Concluído</x:v>
      </x:c>
      <x:c r="H1221" s="17" t="str">
        <x:v>Pago</x:v>
      </x:c>
      <x:c r="I1221" s="21" t="n">
        <x:v>736.93</x:v>
      </x:c>
    </x:row>
    <x:row r="1222" ht="36" hidden="0" customHeight="1">
      <x:c r="A1222" s="17" t="n">
        <x:v>1222</x:v>
      </x:c>
      <x:c r="B1222" s="17" t="str">
        <x:v>OP-1359</x:v>
      </x:c>
      <x:c r="C1222" s="17" t="str">
        <x:v>OS-6801</x:v>
      </x:c>
      <x:c r="D1222" s="17" t="str">
        <x:v>2026-07-15 07:30:00</x:v>
      </x:c>
      <x:c r="E1222" s="17" t="str">
        <x:v>Johnson&amp;Johnson</x:v>
      </x:c>
      <x:c r="F1222" s="17" t="str">
        <x:v>David Nield - indeterminado;
Ray Nordmeyer - indeterminado;
Lucas Lopez - indeterminado</x:v>
      </x:c>
      <x:c r="G1222" s="17" t="str">
        <x:v>Concluído</x:v>
      </x:c>
      <x:c r="H1222" s="17" t="str">
        <x:v>Pagamento Pendente</x:v>
      </x:c>
      <x:c r="I1222" s="21" t="n">
        <x:v>174.51</x:v>
      </x:c>
    </x:row>
    <x:row r="1223" ht="36" hidden="0" customHeight="1">
      <x:c r="A1223" s="17" t="n">
        <x:v>1223</x:v>
      </x:c>
      <x:c r="B1223" s="17" t="str">
        <x:v>OP-1359</x:v>
      </x:c>
      <x:c r="C1223" s="17" t="str">
        <x:v>OS-6811</x:v>
      </x:c>
      <x:c r="D1223" s="17" t="str">
        <x:v>2026-07-15 15:30:00</x:v>
      </x:c>
      <x:c r="E1223" s="17" t="str">
        <x:v>Johnson&amp;Johnson</x:v>
      </x:c>
      <x:c r="F1223" s="17" t="str">
        <x:v>David Nield - indeterminado;
Ray Nordmeyer - indeterminado;
Lucas Lopez - indeterminado</x:v>
      </x:c>
      <x:c r="G1223" s="17" t="str">
        <x:v>Concluído</x:v>
      </x:c>
      <x:c r="H1223" s="17" t="str">
        <x:v>Pagamento Pendente</x:v>
      </x:c>
      <x:c r="I1223" s="21" t="n">
        <x:v>160.51</x:v>
      </x:c>
    </x:row>
    <x:row r="1224" ht="15" hidden="0" customHeight="1">
      <x:c r="A1224" s="17" t="n">
        <x:v>1224</x:v>
      </x:c>
      <x:c r="B1224" s="17" t="str">
        <x:v>OP-1333</x:v>
      </x:c>
      <x:c r="C1224" s="17" t="str">
        <x:v>OS-7057</x:v>
      </x:c>
      <x:c r="D1224" s="17" t="str">
        <x:v>2026-07-15 16:30:00</x:v>
      </x:c>
      <x:c r="E1224" s="17" t="str">
        <x:v>Particular</x:v>
      </x:c>
      <x:c r="F1224" s="17" t="str">
        <x:v>Jay Beaver - indeterminado</x:v>
      </x:c>
      <x:c r="G1224" s="17" t="str">
        <x:v>Concluído</x:v>
      </x:c>
      <x:c r="H1224" s="17" t="str">
        <x:v>Pago</x:v>
      </x:c>
      <x:c r="I1224" s="21" t="n">
        <x:v>509.42</x:v>
      </x:c>
    </x:row>
    <x:row r="1225" ht="15" hidden="0" customHeight="1">
      <x:c r="A1225" s="17" t="n">
        <x:v>1225</x:v>
      </x:c>
      <x:c r="B1225" s="17" t="str">
        <x:v>OP-1340</x:v>
      </x:c>
      <x:c r="C1225" s="17" t="str">
        <x:v>OS-6836</x:v>
      </x:c>
      <x:c r="D1225" s="17" t="str">
        <x:v>2026-07-16 07:00:00</x:v>
      </x:c>
      <x:c r="E1225" s="17" t="str">
        <x:v>Ball Corporation</x:v>
      </x:c>
      <x:c r="F1225" s="17" t="str">
        <x:v>Júlia Cordeiro - (12) 99763-5779</x:v>
      </x:c>
      <x:c r="G1225" s="17" t="str">
        <x:v>Concluído</x:v>
      </x:c>
      <x:c r="H1225" s="17" t="str">
        <x:v>Pago</x:v>
      </x:c>
      <x:c r="I1225" s="21" t="n">
        <x:v>1592.5</x:v>
      </x:c>
    </x:row>
    <x:row r="1226" ht="15" hidden="0" customHeight="1">
      <x:c r="A1226" s="17" t="n">
        <x:v>1226</x:v>
      </x:c>
      <x:c r="B1226" s="17" t="str">
        <x:v>OP-1340</x:v>
      </x:c>
      <x:c r="C1226" s="17" t="str">
        <x:v>OS-6837</x:v>
      </x:c>
      <x:c r="D1226" s="17" t="str">
        <x:v>2026-07-16 07:00:00</x:v>
      </x:c>
      <x:c r="E1226" s="17" t="str">
        <x:v>Ball Corporation</x:v>
      </x:c>
      <x:c r="F1226" s="17" t="str">
        <x:v>Júlia Cordeiro - 12997635779</x:v>
      </x:c>
      <x:c r="G1226" s="17" t="str">
        <x:v>Concluído</x:v>
      </x:c>
      <x:c r="H1226" s="17" t="str">
        <x:v>Pago</x:v>
      </x:c>
      <x:c r="I1226" s="21" t="n">
        <x:v>1592.5</x:v>
      </x:c>
    </x:row>
    <x:row r="1227" ht="36" hidden="0" customHeight="1">
      <x:c r="A1227" s="17" t="n">
        <x:v>1227</x:v>
      </x:c>
      <x:c r="B1227" s="17" t="str">
        <x:v>OP-1359</x:v>
      </x:c>
      <x:c r="C1227" s="17" t="str">
        <x:v>OS-6802</x:v>
      </x:c>
      <x:c r="D1227" s="17" t="str">
        <x:v>2026-07-16 07:30:00</x:v>
      </x:c>
      <x:c r="E1227" s="17" t="str">
        <x:v>Johnson&amp;Johnson</x:v>
      </x:c>
      <x:c r="F1227" s="17" t="str">
        <x:v>David Nield - indeterminado;
Ray Nordmeyer - indeterminado;
Lucas Lopez - indeterminado</x:v>
      </x:c>
      <x:c r="G1227" s="17" t="str">
        <x:v>Concluído</x:v>
      </x:c>
      <x:c r="H1227" s="17" t="str">
        <x:v>Pagamento Pendente</x:v>
      </x:c>
      <x:c r="I1227" s="21" t="n">
        <x:v>174.51</x:v>
      </x:c>
    </x:row>
    <x:row r="1228" ht="15" hidden="0" customHeight="1">
      <x:c r="A1228" s="17" t="n">
        <x:v>1228</x:v>
      </x:c>
      <x:c r="B1228" s="17" t="str">
        <x:v>OP-1340</x:v>
      </x:c>
      <x:c r="C1228" s="17" t="str">
        <x:v>OS-6838</x:v>
      </x:c>
      <x:c r="D1228" s="17" t="str">
        <x:v>2026-07-16 09:00:00</x:v>
      </x:c>
      <x:c r="E1228" s="17" t="str">
        <x:v>Ball Corporation</x:v>
      </x:c>
      <x:c r="F1228" s="17" t="str">
        <x:v>Júlia Cordeiro - 12997635779</x:v>
      </x:c>
      <x:c r="G1228" s="17" t="str">
        <x:v>Concluído</x:v>
      </x:c>
      <x:c r="H1228" s="17" t="str">
        <x:v>Pago</x:v>
      </x:c>
      <x:c r="I1228" s="21" t="n">
        <x:v>892.5</x:v>
      </x:c>
    </x:row>
    <x:row r="1229" ht="15" hidden="0" customHeight="1">
      <x:c r="A1229" s="17" t="n">
        <x:v>1229</x:v>
      </x:c>
      <x:c r="B1229" s="17" t="str">
        <x:v>OP-1340</x:v>
      </x:c>
      <x:c r="C1229" s="17" t="str">
        <x:v>OS-6861</x:v>
      </x:c>
      <x:c r="D1229" s="17" t="str">
        <x:v>2026-07-16 09:00:00</x:v>
      </x:c>
      <x:c r="E1229" s="17" t="str">
        <x:v>Ball Corporation</x:v>
      </x:c>
      <x:c r="F1229" s="17" t="str">
        <x:v>Júlia Cordeiro - 12997635779</x:v>
      </x:c>
      <x:c r="G1229" s="17" t="str">
        <x:v>Concluído</x:v>
      </x:c>
      <x:c r="H1229" s="17" t="str">
        <x:v>Pago</x:v>
      </x:c>
      <x:c r="I1229" s="21" t="n">
        <x:v>892.5</x:v>
      </x:c>
    </x:row>
    <x:row r="1230" ht="24" hidden="0" customHeight="1">
      <x:c r="A1230" s="17" t="n">
        <x:v>1230</x:v>
      </x:c>
      <x:c r="B1230" s="17" t="str">
        <x:v>OP-1334</x:v>
      </x:c>
      <x:c r="C1230" s="17" t="str">
        <x:v>OS-7011</x:v>
      </x:c>
      <x:c r="D1230" s="17" t="str">
        <x:v>2026-07-16 13:00:00</x:v>
      </x:c>
      <x:c r="E1230" s="17" t="str">
        <x:v>Particular</x:v>
      </x:c>
      <x:c r="F1230" s="17" t="str">
        <x:v>Robert Lettner - +491728446869;
Hubert Lettnet - +491624400639</x:v>
      </x:c>
      <x:c r="G1230" s="17" t="str">
        <x:v>Concluído</x:v>
      </x:c>
      <x:c r="H1230" s="17" t="str">
        <x:v>Pago</x:v>
      </x:c>
      <x:c r="I1230" s="21" t="n">
        <x:v>669.93</x:v>
      </x:c>
    </x:row>
    <x:row r="1231" ht="36" hidden="0" customHeight="1">
      <x:c r="A1231" s="17" t="n">
        <x:v>1231</x:v>
      </x:c>
      <x:c r="B1231" s="17" t="str">
        <x:v>OP-1359</x:v>
      </x:c>
      <x:c r="C1231" s="17" t="str">
        <x:v>OS-6812</x:v>
      </x:c>
      <x:c r="D1231" s="17" t="str">
        <x:v>2026-07-16 16:30:00</x:v>
      </x:c>
      <x:c r="E1231" s="17" t="str">
        <x:v>Johnson&amp;Johnson</x:v>
      </x:c>
      <x:c r="F1231" s="17" t="str">
        <x:v>David Nield - indeterminado;
Ray Nordmeyer - indeterminado;
Lucas Lopez - indeterminado</x:v>
      </x:c>
      <x:c r="G1231" s="17" t="str">
        <x:v>Concluído</x:v>
      </x:c>
      <x:c r="H1231" s="17" t="str">
        <x:v>Pagamento Pendente</x:v>
      </x:c>
      <x:c r="I1231" s="21" t="n">
        <x:v>160.51</x:v>
      </x:c>
    </x:row>
    <x:row r="1232" ht="15" hidden="0" customHeight="1">
      <x:c r="A1232" s="17" t="n">
        <x:v>1232</x:v>
      </x:c>
      <x:c r="B1232" s="17" t="str">
        <x:v>OP-1358</x:v>
      </x:c>
      <x:c r="C1232" s="17" t="str">
        <x:v>OS-7099</x:v>
      </x:c>
      <x:c r="D1232" s="17" t="str">
        <x:v>2026-07-16 18:15:00</x:v>
      </x:c>
      <x:c r="E1232" s="17" t="str">
        <x:v>Mckinsey</x:v>
      </x:c>
      <x:c r="F1232" s="17" t="str">
        <x:v>Willian Bezerra</x:v>
      </x:c>
      <x:c r="G1232" s="17" t="str">
        <x:v>Concluído</x:v>
      </x:c>
      <x:c r="H1232" s="17" t="str">
        <x:v>Pagamento Pendente</x:v>
      </x:c>
      <x:c r="I1232" s="21" t="n">
        <x:v>713.56</x:v>
      </x:c>
    </x:row>
    <x:row r="1233" ht="15" hidden="0" customHeight="1">
      <x:c r="A1233" s="17" t="n">
        <x:v>1233</x:v>
      </x:c>
      <x:c r="B1233" s="17" t="str">
        <x:v>OP-1337</x:v>
      </x:c>
      <x:c r="C1233" s="17" t="str">
        <x:v>OS-6991</x:v>
      </x:c>
      <x:c r="D1233" s="17" t="str">
        <x:v>2026-07-17 04:30:00</x:v>
      </x:c>
      <x:c r="E1233" s="17" t="str">
        <x:v>Kenvue</x:v>
      </x:c>
      <x:c r="F1233" s="17" t="str">
        <x:v>Dinora Diaz Toledo - +525552171761</x:v>
      </x:c>
      <x:c r="G1233" s="17" t="str">
        <x:v>Concluído</x:v>
      </x:c>
      <x:c r="H1233" s="17" t="str">
        <x:v>Pago</x:v>
      </x:c>
      <x:c r="I1233" s="21" t="n">
        <x:v>429.35</x:v>
      </x:c>
    </x:row>
    <x:row r="1234" ht="15" hidden="0" customHeight="1">
      <x:c r="A1234" s="17" t="n">
        <x:v>1234</x:v>
      </x:c>
      <x:c r="B1234" s="17" t="str">
        <x:v>OP-1335</x:v>
      </x:c>
      <x:c r="C1234" s="17" t="str">
        <x:v>OS-6660</x:v>
      </x:c>
      <x:c r="D1234" s="17" t="str">
        <x:v>2026-07-17 07:10:00</x:v>
      </x:c>
      <x:c r="E1234" s="17" t="str">
        <x:v>Johnson&amp;Johnson</x:v>
      </x:c>
      <x:c r="F1234" s="17" t="str">
        <x:v>Monica Nakamura - +55 (12) 98816-8754</x:v>
      </x:c>
      <x:c r="G1234" s="17" t="str">
        <x:v>Concluído</x:v>
      </x:c>
      <x:c r="H1234" s="17" t="str">
        <x:v>Pagamento Pendente</x:v>
      </x:c>
      <x:c r="I1234" s="21" t="n">
        <x:v>509.98</x:v>
      </x:c>
    </x:row>
    <x:row r="1235" ht="36" hidden="0" customHeight="1">
      <x:c r="A1235" s="17" t="n">
        <x:v>1235</x:v>
      </x:c>
      <x:c r="B1235" s="17" t="str">
        <x:v>OP-1359</x:v>
      </x:c>
      <x:c r="C1235" s="17" t="str">
        <x:v>OS-6803</x:v>
      </x:c>
      <x:c r="D1235" s="17" t="str">
        <x:v>2026-07-17 07:30:00</x:v>
      </x:c>
      <x:c r="E1235" s="17" t="str">
        <x:v>Johnson&amp;Johnson</x:v>
      </x:c>
      <x:c r="F1235" s="17" t="str">
        <x:v>David Nield - indeterminado;
Ray Nordmeyer - indeterminado;
Lucas Lopez - indeterminado</x:v>
      </x:c>
      <x:c r="G1235" s="17" t="str">
        <x:v>Concluído</x:v>
      </x:c>
      <x:c r="H1235" s="17" t="str">
        <x:v>Pagamento Pendente</x:v>
      </x:c>
      <x:c r="I1235" s="21" t="n">
        <x:v>174.51</x:v>
      </x:c>
    </x:row>
    <x:row r="1236" ht="15" hidden="0" customHeight="1">
      <x:c r="A1236" s="17" t="n">
        <x:v>1236</x:v>
      </x:c>
      <x:c r="B1236" s="17" t="str">
        <x:v>OP-1338</x:v>
      </x:c>
      <x:c r="C1236" s="17" t="str">
        <x:v>OS-6438</x:v>
      </x:c>
      <x:c r="D1236" s="17" t="str">
        <x:v>2026-07-17 09:40:00</x:v>
      </x:c>
      <x:c r="E1236" s="17" t="str">
        <x:v>Boeing</x:v>
      </x:c>
      <x:c r="F1236" s="17" t="str">
        <x:v>Cezar Franco - (12) 98106-7121</x:v>
      </x:c>
      <x:c r="G1236" s="17" t="str">
        <x:v>Concluído</x:v>
      </x:c>
      <x:c r="H1236" s="17" t="str">
        <x:v>Pagamento Pendente</x:v>
      </x:c>
      <x:c r="I1236" s="21" t="n">
        <x:v>517.33</x:v>
      </x:c>
    </x:row>
    <x:row r="1237" ht="36" hidden="0" customHeight="1">
      <x:c r="A1237" s="17" t="n">
        <x:v>1237</x:v>
      </x:c>
      <x:c r="B1237" s="17" t="str">
        <x:v>OP-1359</x:v>
      </x:c>
      <x:c r="C1237" s="17" t="str">
        <x:v>OS-6813</x:v>
      </x:c>
      <x:c r="D1237" s="17" t="str">
        <x:v>2026-07-17 16:30:00</x:v>
      </x:c>
      <x:c r="E1237" s="17" t="str">
        <x:v>Johnson&amp;Johnson</x:v>
      </x:c>
      <x:c r="F1237" s="17" t="str">
        <x:v>David Nield - indeterminado;
Ray Nordmeyer - indeterminado;
Lucas Lopez - indeterminado</x:v>
      </x:c>
      <x:c r="G1237" s="17" t="str">
        <x:v>Concluído</x:v>
      </x:c>
      <x:c r="H1237" s="17" t="str">
        <x:v>Pagamento Pendente</x:v>
      </x:c>
      <x:c r="I1237" s="21" t="n">
        <x:v>160.51</x:v>
      </x:c>
    </x:row>
    <x:row r="1238" ht="15" hidden="0" customHeight="1">
      <x:c r="A1238" s="17" t="n">
        <x:v>1238</x:v>
      </x:c>
      <x:c r="B1238" s="17" t="str">
        <x:v>OP-1352</x:v>
      </x:c>
      <x:c r="C1238" s="17" t="str">
        <x:v>OS-7178</x:v>
      </x:c>
      <x:c r="D1238" s="17" t="str">
        <x:v>2026-07-17 17:00:00</x:v>
      </x:c>
      <x:c r="E1238" s="17" t="str">
        <x:v>Johnson&amp;Johnson</x:v>
      </x:c>
      <x:c r="F1238" s="17" t="str">
        <x:v>Sheyla Francisca Santos Braccini - +55 11 97240 9096</x:v>
      </x:c>
      <x:c r="G1238" s="17" t="str">
        <x:v>Concluído</x:v>
      </x:c>
      <x:c r="H1238" s="17" t="str">
        <x:v>Pagamento Pendente</x:v>
      </x:c>
      <x:c r="I1238" s="21" t="n">
        <x:v>1183.9</x:v>
      </x:c>
    </x:row>
    <x:row r="1239" ht="24" hidden="0" customHeight="1">
      <x:c r="A1239" s="17" t="n">
        <x:v>1239</x:v>
      </x:c>
      <x:c r="B1239" s="17" t="str">
        <x:v>OP-1349</x:v>
      </x:c>
      <x:c r="C1239" s="17" t="str">
        <x:v>OS-7040</x:v>
      </x:c>
      <x:c r="D1239" s="17" t="str">
        <x:v>2026-07-17 21:00:00</x:v>
      </x:c>
      <x:c r="E1239" s="17" t="str">
        <x:v>Johnson&amp;Johnson</x:v>
      </x:c>
      <x:c r="F1239" s="17" t="str">
        <x:v>Gabriela Gonçalves Marchesi - (35) 98815-8015;
Gislaine Cruz - +55 12 99719 1425</x:v>
      </x:c>
      <x:c r="G1239" s="17" t="str">
        <x:v>Concluído</x:v>
      </x:c>
      <x:c r="H1239" s="17" t="str">
        <x:v>Pago</x:v>
      </x:c>
      <x:c r="I1239" s="21" t="n">
        <x:v>558.86</x:v>
      </x:c>
    </x:row>
    <x:row r="1240" ht="15" hidden="0" customHeight="1">
      <x:c r="A1240" s="17" t="n">
        <x:v>1240</x:v>
      </x:c>
      <x:c r="B1240" s="17" t="str">
        <x:v>OP-1353</x:v>
      </x:c>
      <x:c r="C1240" s="17" t="str">
        <x:v>OS-6701</x:v>
      </x:c>
      <x:c r="D1240" s="17" t="str">
        <x:v>2026-07-18 06:30:00</x:v>
      </x:c>
      <x:c r="E1240" s="17" t="str">
        <x:v>Particular</x:v>
      </x:c>
      <x:c r="F1240" s="17" t="str">
        <x:v>Alexander Fonseca - +55 12 99169-0855</x:v>
      </x:c>
      <x:c r="G1240" s="17" t="str">
        <x:v>Concluído</x:v>
      </x:c>
      <x:c r="H1240" s="17" t="str">
        <x:v>Pago</x:v>
      </x:c>
      <x:c r="I1240" s="21" t="n">
        <x:v>290</x:v>
      </x:c>
    </x:row>
    <x:row r="1241" ht="15" hidden="0" customHeight="1">
      <x:c r="A1241" s="17" t="n">
        <x:v>1241</x:v>
      </x:c>
      <x:c r="B1241" s="17" t="str">
        <x:v>OP-1348</x:v>
      </x:c>
      <x:c r="C1241" s="17" t="str">
        <x:v>OS-6983</x:v>
      </x:c>
      <x:c r="D1241" s="17" t="str">
        <x:v>2026-07-18 06:30:00</x:v>
      </x:c>
      <x:c r="E1241" s="17" t="str">
        <x:v>Johnson&amp;Johnson</x:v>
      </x:c>
      <x:c r="F1241" s="17" t="str">
        <x:v>Mateus Montemor - +55 (12) 99614-9949</x:v>
      </x:c>
      <x:c r="G1241" s="17" t="str">
        <x:v>Concluído</x:v>
      </x:c>
      <x:c r="H1241" s="17" t="str">
        <x:v>Pago</x:v>
      </x:c>
      <x:c r="I1241" s="21" t="n">
        <x:v>558.86</x:v>
      </x:c>
    </x:row>
    <x:row r="1242" ht="15" hidden="0" customHeight="1">
      <x:c r="A1242" s="17" t="n">
        <x:v>1242</x:v>
      </x:c>
      <x:c r="B1242" s="17" t="str">
        <x:v>OP-1353</x:v>
      </x:c>
      <x:c r="C1242" s="17" t="str">
        <x:v>OS-7179</x:v>
      </x:c>
      <x:c r="D1242" s="17" t="str">
        <x:v>2026-07-18 06:30:00</x:v>
      </x:c>
      <x:c r="E1242" s="17" t="str">
        <x:v>Particular</x:v>
      </x:c>
      <x:c r="F1242" s="17" t="str">
        <x:v>Alexander Fonseca - +55 12 99169-0855</x:v>
      </x:c>
      <x:c r="G1242" s="17" t="str">
        <x:v>Concluído</x:v>
      </x:c>
      <x:c r="H1242" s="17" t="str">
        <x:v>Pago</x:v>
      </x:c>
      <x:c r="I1242" s="21" t="n">
        <x:v>290</x:v>
      </x:c>
    </x:row>
    <x:row r="1243" ht="15" hidden="0" customHeight="1">
      <x:c r="A1243" s="17" t="n">
        <x:v>1243</x:v>
      </x:c>
      <x:c r="B1243" s="17" t="str">
        <x:v>OP-1347</x:v>
      </x:c>
      <x:c r="C1243" s="17" t="str">
        <x:v>OS-7237</x:v>
      </x:c>
      <x:c r="D1243" s="17" t="str">
        <x:v>2026-07-18 19:50:00</x:v>
      </x:c>
      <x:c r="E1243" s="17" t="str">
        <x:v>Johnson&amp;Johnson</x:v>
      </x:c>
      <x:c r="F1243" s="17" t="str">
        <x:v>Thais Figueiredo - +55 12 98867-4932</x:v>
      </x:c>
      <x:c r="G1243" s="17" t="str">
        <x:v>Concluído</x:v>
      </x:c>
      <x:c r="H1243" s="17" t="str">
        <x:v>Pago</x:v>
      </x:c>
      <x:c r="I1243" s="21" t="n">
        <x:v>509.98</x:v>
      </x:c>
    </x:row>
    <x:row r="1244" ht="15" hidden="0" customHeight="1">
      <x:c r="A1244" s="17" t="n">
        <x:v>1244</x:v>
      </x:c>
      <x:c r="B1244" s="17" t="str">
        <x:v>OP-1346</x:v>
      </x:c>
      <x:c r="C1244" s="17" t="str">
        <x:v>OS-6622</x:v>
      </x:c>
      <x:c r="D1244" s="17" t="str">
        <x:v>2026-07-19 05:20:00</x:v>
      </x:c>
      <x:c r="E1244" s="17" t="str">
        <x:v>Johnson&amp;Johnson</x:v>
      </x:c>
      <x:c r="F1244" s="17" t="str">
        <x:v>Lucas Medina - (12) 99652-0311</x:v>
      </x:c>
      <x:c r="G1244" s="17" t="str">
        <x:v>Concluído</x:v>
      </x:c>
      <x:c r="H1244" s="17" t="str">
        <x:v>Pago</x:v>
      </x:c>
      <x:c r="I1244" s="21" t="n">
        <x:v>509.98</x:v>
      </x:c>
    </x:row>
    <x:row r="1245" ht="15" hidden="0" customHeight="1">
      <x:c r="A1245" s="17" t="n">
        <x:v>1245</x:v>
      </x:c>
      <x:c r="B1245" s="17" t="str">
        <x:v>OP-1354</x:v>
      </x:c>
      <x:c r="C1245" s="17" t="str">
        <x:v>OS-7229</x:v>
      </x:c>
      <x:c r="D1245" s="17" t="str">
        <x:v>2026-07-19 06:00:00</x:v>
      </x:c>
      <x:c r="E1245" s="17" t="str">
        <x:v>Particular</x:v>
      </x:c>
      <x:c r="F1245" s="17" t="str">
        <x:v>Alvadi Serpa Junior - +1 (321) 844-1032</x:v>
      </x:c>
      <x:c r="G1245" s="17" t="str">
        <x:v>Programado</x:v>
      </x:c>
      <x:c r="H1245" s="17" t="str">
        <x:v>Cancelado Sem Taxa</x:v>
      </x:c>
      <x:c r="I1245" s="21" t="n">
        <x:v>0</x:v>
      </x:c>
    </x:row>
    <x:row r="1246" ht="15" hidden="0" customHeight="1">
      <x:c r="A1246" s="17" t="n">
        <x:v>1246</x:v>
      </x:c>
      <x:c r="B1246" s="17" t="str">
        <x:v>OP-1345</x:v>
      </x:c>
      <x:c r="C1246" s="17" t="str">
        <x:v>OS-6662</x:v>
      </x:c>
      <x:c r="D1246" s="17" t="str">
        <x:v>2026-07-19 07:30:00</x:v>
      </x:c>
      <x:c r="E1246" s="17" t="str">
        <x:v>Johnson&amp;Johnson</x:v>
      </x:c>
      <x:c r="F1246" s="17" t="str">
        <x:v>Vitória Abreu Santos - 12988038224</x:v>
      </x:c>
      <x:c r="G1246" s="17" t="str">
        <x:v>Concluído</x:v>
      </x:c>
      <x:c r="H1246" s="17" t="str">
        <x:v>Pagamento Pendente</x:v>
      </x:c>
      <x:c r="I1246" s="21" t="n">
        <x:v>558.86</x:v>
      </x:c>
    </x:row>
    <x:row r="1247" ht="15" hidden="0" customHeight="1">
      <x:c r="A1247" s="17" t="n">
        <x:v>1247</x:v>
      </x:c>
      <x:c r="B1247" s="17" t="str">
        <x:v>OP-1342</x:v>
      </x:c>
      <x:c r="C1247" s="17" t="str">
        <x:v>OS-6790</x:v>
      </x:c>
      <x:c r="D1247" s="17" t="str">
        <x:v>2026-07-19 09:35:00</x:v>
      </x:c>
      <x:c r="E1247" s="17" t="str">
        <x:v>Boeing</x:v>
      </x:c>
      <x:c r="F1247" s="17" t="str">
        <x:v>Rene Costa Araújo - indeterminado</x:v>
      </x:c>
      <x:c r="G1247" s="17" t="str">
        <x:v>Concluído</x:v>
      </x:c>
      <x:c r="H1247" s="17" t="str">
        <x:v>Pago</x:v>
      </x:c>
      <x:c r="I1247" s="21" t="n">
        <x:v>463.05</x:v>
      </x:c>
    </x:row>
    <x:row r="1248" ht="15" hidden="0" customHeight="1">
      <x:c r="A1248" s="17" t="n">
        <x:v>1248</x:v>
      </x:c>
      <x:c r="B1248" s="17" t="str">
        <x:v>OP-1344</x:v>
      </x:c>
      <x:c r="C1248" s="17" t="str">
        <x:v>OS-7241</x:v>
      </x:c>
      <x:c r="D1248" s="17" t="str">
        <x:v>2026-07-20 05:30:00</x:v>
      </x:c>
      <x:c r="E1248" s="17" t="str">
        <x:v>Johnson&amp;Johnson</x:v>
      </x:c>
      <x:c r="F1248" s="17" t="str">
        <x:v>Isabela Andrade - +55 12 982229040</x:v>
      </x:c>
      <x:c r="G1248" s="17" t="str">
        <x:v>Concluído</x:v>
      </x:c>
      <x:c r="H1248" s="17" t="str">
        <x:v>Pago</x:v>
      </x:c>
      <x:c r="I1248" s="21" t="n">
        <x:v>509.98</x:v>
      </x:c>
    </x:row>
    <x:row r="1249" ht="15" hidden="0" customHeight="1">
      <x:c r="A1249" s="17" t="n">
        <x:v>1249</x:v>
      </x:c>
      <x:c r="B1249" s="17" t="str">
        <x:v>OP-1358</x:v>
      </x:c>
      <x:c r="C1249" s="17" t="str">
        <x:v>OS-7100</x:v>
      </x:c>
      <x:c r="D1249" s="17" t="str">
        <x:v>2026-07-20 05:40:00</x:v>
      </x:c>
      <x:c r="E1249" s="17" t="str">
        <x:v>Mckinsey</x:v>
      </x:c>
      <x:c r="F1249" s="17" t="str">
        <x:v>Willian Bezerra</x:v>
      </x:c>
      <x:c r="G1249" s="17" t="str">
        <x:v>Concluído</x:v>
      </x:c>
      <x:c r="H1249" s="17" t="str">
        <x:v>Pagamento Pendente</x:v>
      </x:c>
      <x:c r="I1249" s="21" t="n">
        <x:v>713.56</x:v>
      </x:c>
    </x:row>
    <x:row r="1250" ht="36" hidden="0" customHeight="1">
      <x:c r="A1250" s="17" t="n">
        <x:v>1250</x:v>
      </x:c>
      <x:c r="B1250" s="17" t="str">
        <x:v>OP-1359</x:v>
      </x:c>
      <x:c r="C1250" s="17" t="str">
        <x:v>OS-6804</x:v>
      </x:c>
      <x:c r="D1250" s="17" t="str">
        <x:v>2026-07-20 07:30:00</x:v>
      </x:c>
      <x:c r="E1250" s="17" t="str">
        <x:v>Johnson&amp;Johnson</x:v>
      </x:c>
      <x:c r="F1250" s="17" t="str">
        <x:v>David Nield - indeterminado;
Ray Nordmeyer - indeterminado;
Lucas Lopez - indeterminado</x:v>
      </x:c>
      <x:c r="G1250" s="17" t="str">
        <x:v>Concluído</x:v>
      </x:c>
      <x:c r="H1250" s="17" t="str">
        <x:v>Pagamento Pendente</x:v>
      </x:c>
      <x:c r="I1250" s="21" t="n">
        <x:v>174.51</x:v>
      </x:c>
    </x:row>
    <x:row r="1251" ht="15" hidden="0" customHeight="1">
      <x:c r="A1251" s="17" t="n">
        <x:v>1251</x:v>
      </x:c>
      <x:c r="B1251" s="17" t="str">
        <x:v>OP-1355</x:v>
      </x:c>
      <x:c r="C1251" s="17" t="str">
        <x:v>OS-6359</x:v>
      </x:c>
      <x:c r="D1251" s="17" t="str">
        <x:v>2026-07-20 09:00:00</x:v>
      </x:c>
      <x:c r="E1251" s="17" t="str">
        <x:v>Particular</x:v>
      </x:c>
      <x:c r="F1251" s="17" t="str">
        <x:v>Beatriz Filgueiras Seibel - +55 (12) 98118-0208</x:v>
      </x:c>
      <x:c r="G1251" s="17" t="str">
        <x:v>Concluído</x:v>
      </x:c>
      <x:c r="H1251" s="17" t="str">
        <x:v>Pago</x:v>
      </x:c>
      <x:c r="I1251" s="21" t="n">
        <x:v>379</x:v>
      </x:c>
    </x:row>
    <x:row r="1252" ht="15" hidden="0" customHeight="1">
      <x:c r="A1252" s="17" t="n">
        <x:v>1252</x:v>
      </x:c>
      <x:c r="B1252" s="17" t="str">
        <x:v>OP-1358</x:v>
      </x:c>
      <x:c r="C1252" s="17" t="str">
        <x:v>OS-7238</x:v>
      </x:c>
      <x:c r="D1252" s="17" t="str">
        <x:v>2026-07-20 09:30:00</x:v>
      </x:c>
      <x:c r="E1252" s="17" t="str">
        <x:v>Mckinsey</x:v>
      </x:c>
      <x:c r="F1252" s="17" t="str">
        <x:v>Mahsa Galiani</x:v>
      </x:c>
      <x:c r="G1252" s="17" t="str">
        <x:v>Concluído</x:v>
      </x:c>
      <x:c r="H1252" s="17" t="str">
        <x:v>Pagamento Pendente</x:v>
      </x:c>
      <x:c r="I1252" s="21" t="n">
        <x:v>576.42</x:v>
      </x:c>
    </x:row>
    <x:row r="1253" ht="15" hidden="0" customHeight="1">
      <x:c r="A1253" s="17" t="n">
        <x:v>1253</x:v>
      </x:c>
      <x:c r="B1253" s="17" t="str">
        <x:v>OP-1343</x:v>
      </x:c>
      <x:c r="C1253" s="17" t="str">
        <x:v>OS-7059</x:v>
      </x:c>
      <x:c r="D1253" s="17" t="str">
        <x:v>2026-07-20 09:55:00</x:v>
      </x:c>
      <x:c r="E1253" s="17" t="str">
        <x:v>Johnson&amp;Johnson</x:v>
      </x:c>
      <x:c r="F1253" s="17" t="str">
        <x:v>Gabriela Junqueira da Silva - +5512981174389</x:v>
      </x:c>
      <x:c r="G1253" s="17" t="str">
        <x:v>Concluído</x:v>
      </x:c>
      <x:c r="H1253" s="17" t="str">
        <x:v>Pago</x:v>
      </x:c>
      <x:c r="I1253" s="21" t="n">
        <x:v>509.98</x:v>
      </x:c>
    </x:row>
    <x:row r="1254" ht="15" hidden="0" customHeight="1">
      <x:c r="A1254" s="17" t="n">
        <x:v>1254</x:v>
      </x:c>
      <x:c r="B1254" s="17" t="str">
        <x:v>OP-1358</x:v>
      </x:c>
      <x:c r="C1254" s="17" t="str">
        <x:v>OS-7255</x:v>
      </x:c>
      <x:c r="D1254" s="17" t="str">
        <x:v>2026-07-20 10:00:00</x:v>
      </x:c>
      <x:c r="E1254" s="17" t="str">
        <x:v>Mckinsey</x:v>
      </x:c>
      <x:c r="F1254" s="17" t="str">
        <x:v>Ingrid Millan</x:v>
      </x:c>
      <x:c r="G1254" s="17" t="str">
        <x:v>Concluído</x:v>
      </x:c>
      <x:c r="H1254" s="17" t="str">
        <x:v>Pagamento Pendente</x:v>
      </x:c>
      <x:c r="I1254" s="21" t="n">
        <x:v>801.26</x:v>
      </x:c>
    </x:row>
    <x:row r="1255" ht="36" hidden="0" customHeight="1">
      <x:c r="A1255" s="17" t="n">
        <x:v>1255</x:v>
      </x:c>
      <x:c r="B1255" s="17" t="str">
        <x:v>OP-1359</x:v>
      </x:c>
      <x:c r="C1255" s="17" t="str">
        <x:v>OS-6814</x:v>
      </x:c>
      <x:c r="D1255" s="17" t="str">
        <x:v>2026-07-20 17:00:00</x:v>
      </x:c>
      <x:c r="E1255" s="17" t="str">
        <x:v>Johnson&amp;Johnson</x:v>
      </x:c>
      <x:c r="F1255" s="17" t="str">
        <x:v>David Nield - indeterminado;
Ray Nordmeyer - indeterminado;
Lucas Lopez - indeterminado</x:v>
      </x:c>
      <x:c r="G1255" s="17" t="str">
        <x:v>Concluído</x:v>
      </x:c>
      <x:c r="H1255" s="17" t="str">
        <x:v>Pagamento Pendente</x:v>
      </x:c>
      <x:c r="I1255" s="21" t="n">
        <x:v>160.51</x:v>
      </x:c>
    </x:row>
    <x:row r="1256" ht="36" hidden="0" customHeight="1">
      <x:c r="A1256" s="17" t="n">
        <x:v>1256</x:v>
      </x:c>
      <x:c r="B1256" s="17" t="str">
        <x:v>OP-1359</x:v>
      </x:c>
      <x:c r="C1256" s="17" t="str">
        <x:v>OS-6805</x:v>
      </x:c>
      <x:c r="D1256" s="17" t="str">
        <x:v>2026-07-21 07:30:00</x:v>
      </x:c>
      <x:c r="E1256" s="17" t="str">
        <x:v>Johnson&amp;Johnson</x:v>
      </x:c>
      <x:c r="F1256" s="17" t="str">
        <x:v>David Nield - indeterminado;
Ray Nordmeyer - indeterminado;
Lucas Lopez - indeterminado</x:v>
      </x:c>
      <x:c r="G1256" s="17" t="str">
        <x:v>Concluído</x:v>
      </x:c>
      <x:c r="H1256" s="17" t="str">
        <x:v>Pagamento Pendente</x:v>
      </x:c>
      <x:c r="I1256" s="21" t="n">
        <x:v>174.51</x:v>
      </x:c>
    </x:row>
    <x:row r="1257" ht="36" hidden="0" customHeight="1">
      <x:c r="A1257" s="17" t="n">
        <x:v>1257</x:v>
      </x:c>
      <x:c r="B1257" s="17" t="str">
        <x:v>OP-1359</x:v>
      </x:c>
      <x:c r="C1257" s="17" t="str">
        <x:v>OS-6815</x:v>
      </x:c>
      <x:c r="D1257" s="17" t="str">
        <x:v>2026-07-21 15:30:00</x:v>
      </x:c>
      <x:c r="E1257" s="17" t="str">
        <x:v>Johnson&amp;Johnson</x:v>
      </x:c>
      <x:c r="F1257" s="17" t="str">
        <x:v>David Nield - indeterminado;
Ray Nordmeyer - indeterminado;
Lucas Lopez - indeterminado</x:v>
      </x:c>
      <x:c r="G1257" s="17" t="str">
        <x:v>Concluído</x:v>
      </x:c>
      <x:c r="H1257" s="17" t="str">
        <x:v>Pagamento Pendente</x:v>
      </x:c>
      <x:c r="I1257" s="21" t="n">
        <x:v>160.51</x:v>
      </x:c>
    </x:row>
    <x:row r="1258" ht="36" hidden="0" customHeight="1">
      <x:c r="A1258" s="17" t="n">
        <x:v>1258</x:v>
      </x:c>
      <x:c r="B1258" s="17" t="str">
        <x:v>OP-1359</x:v>
      </x:c>
      <x:c r="C1258" s="17" t="str">
        <x:v>OS-6806</x:v>
      </x:c>
      <x:c r="D1258" s="17" t="str">
        <x:v>2026-07-22 07:30:00</x:v>
      </x:c>
      <x:c r="E1258" s="17" t="str">
        <x:v>Johnson&amp;Johnson</x:v>
      </x:c>
      <x:c r="F1258" s="17" t="str">
        <x:v>David Nield - indeterminado;
Ray Nordmeyer - indeterminado;
Lucas Lopez - indeterminado</x:v>
      </x:c>
      <x:c r="G1258" s="17" t="str">
        <x:v>Cancelado</x:v>
      </x:c>
      <x:c r="H1258" s="17" t="str">
        <x:v>Pagamento Pendente</x:v>
      </x:c>
      <x:c r="I1258" s="21" t="n">
        <x:v>0</x:v>
      </x:c>
    </x:row>
    <x:row r="1259" ht="36" hidden="0" customHeight="1">
      <x:c r="A1259" s="17" t="n">
        <x:v>1259</x:v>
      </x:c>
      <x:c r="B1259" s="17" t="str">
        <x:v>OP-1359</x:v>
      </x:c>
      <x:c r="C1259" s="17" t="str">
        <x:v>OS-6816</x:v>
      </x:c>
      <x:c r="D1259" s="17" t="str">
        <x:v>2026-07-22 16:00:00</x:v>
      </x:c>
      <x:c r="E1259" s="17" t="str">
        <x:v>Johnson&amp;Johnson</x:v>
      </x:c>
      <x:c r="F1259" s="17" t="str">
        <x:v>David Nield - indeterminado;
Ray Nordmeyer - indeterminado;
Lucas Lopez - indeterminado</x:v>
      </x:c>
      <x:c r="G1259" s="17" t="str">
        <x:v>Programado</x:v>
      </x:c>
      <x:c r="H1259" s="17" t="str">
        <x:v>Composição Realizada</x:v>
      </x:c>
      <x:c r="I1259" s="21" t="n">
        <x:v>509.42</x:v>
      </x:c>
    </x:row>
    <x:row r="1260" ht="36" hidden="0" customHeight="1">
      <x:c r="A1260" s="17" t="n">
        <x:v>1260</x:v>
      </x:c>
      <x:c r="B1260" s="17" t="str">
        <x:v>OP-1359</x:v>
      </x:c>
      <x:c r="C1260" s="17" t="str">
        <x:v>OS-6807</x:v>
      </x:c>
      <x:c r="D1260" s="17" t="str">
        <x:v>2026-07-23 07:30:00</x:v>
      </x:c>
      <x:c r="E1260" s="17" t="str">
        <x:v>Johnson&amp;Johnson</x:v>
      </x:c>
      <x:c r="F1260" s="17" t="str">
        <x:v>David Nield - indeterminado;
Ray Nordmeyer - indeterminado;
Lucas Lopez - indeterminado</x:v>
      </x:c>
      <x:c r="G1260" s="17" t="str">
        <x:v>Cancelado</x:v>
      </x:c>
      <x:c r="H1260" s="17" t="str">
        <x:v>Pagamento Pendente</x:v>
      </x:c>
      <x:c r="I1260" s="21" t="n">
        <x:v>0</x:v>
      </x:c>
    </x:row>
    <x:row r="1261" ht="36" hidden="0" customHeight="1">
      <x:c r="A1261" s="17" t="n">
        <x:v>1261</x:v>
      </x:c>
      <x:c r="B1261" s="17" t="str">
        <x:v>OP-1359</x:v>
      </x:c>
      <x:c r="C1261" s="17" t="str">
        <x:v>OS-6797</x:v>
      </x:c>
      <x:c r="D1261" s="17" t="str">
        <x:v>2026-07-23 16:00:00</x:v>
      </x:c>
      <x:c r="E1261" s="17" t="str">
        <x:v>Johnson&amp;Johnson</x:v>
      </x:c>
      <x:c r="F1261" s="17" t="str">
        <x:v>David Nield - indeterminado;
Ray Nordmeyer - indeterminado;
Lucas Lopez - indeterminado</x:v>
      </x:c>
      <x:c r="G1261" s="17" t="str">
        <x:v>Cancelado</x:v>
      </x:c>
      <x:c r="H1261" s="17" t="str">
        <x:v>Pagamento Pendente</x:v>
      </x:c>
      <x:c r="I1261" s="21" t="n">
        <x:v>0</x:v>
      </x:c>
    </x:row>
    <x:row r="1262" ht="36" hidden="0" customHeight="1">
      <x:c r="A1262" s="17" t="n">
        <x:v>1262</x:v>
      </x:c>
      <x:c r="B1262" s="17" t="str">
        <x:v>OP-1359</x:v>
      </x:c>
      <x:c r="C1262" s="17" t="str">
        <x:v>OS-6817</x:v>
      </x:c>
      <x:c r="D1262" s="17" t="str">
        <x:v>2026-07-23 17:00:00</x:v>
      </x:c>
      <x:c r="E1262" s="17" t="str">
        <x:v>Johnson&amp;Johnson</x:v>
      </x:c>
      <x:c r="F1262" s="17" t="str">
        <x:v>David Nield - indeterminado;
Ray Nordmeyer - indeterminado;
Lucas Lopez - indeterminado</x:v>
      </x:c>
      <x:c r="G1262" s="17" t="str">
        <x:v>Cancelado</x:v>
      </x:c>
      <x:c r="H1262" s="17" t="str">
        <x:v>Pagamento Pendente</x:v>
      </x:c>
      <x:c r="I1262" s="21" t="n">
        <x:v>0</x:v>
      </x:c>
    </x:row>
    <x:row r="1263" ht="15" hidden="0" customHeight="1">
      <x:c r="A1263" s="17" t="n">
        <x:v>1263</x:v>
      </x:c>
      <x:c r="B1263" s="17" t="str">
        <x:v>OP-1357</x:v>
      </x:c>
      <x:c r="C1263" s="17" t="str">
        <x:v>OS-6987</x:v>
      </x:c>
      <x:c r="D1263" s="17" t="str">
        <x:v>2026-07-24 15:00:00</x:v>
      </x:c>
      <x:c r="E1263" s="17" t="str">
        <x:v>Particular</x:v>
      </x:c>
      <x:c r="F1263" s="17" t="str">
        <x:v>Erica Baldini - +1 (720) 503-7490</x:v>
      </x:c>
      <x:c r="G1263" s="17" t="str">
        <x:v>Confirmado</x:v>
      </x:c>
      <x:c r="H1263" s="17" t="str">
        <x:v>Pago</x:v>
      </x:c>
      <x:c r="I1263" s="21" t="n">
        <x:v>565</x:v>
      </x:c>
    </x:row>
    <x:row r="1264" ht="15" hidden="0" customHeight="1">
      <x:c r="A1264" s="17" t="n">
        <x:v>1264</x:v>
      </x:c>
      <x:c r="B1264" s="17" t="str">
        <x:v>OP-1289</x:v>
      </x:c>
      <x:c r="C1264" s="17" t="str">
        <x:v>OS-5845</x:v>
      </x:c>
      <x:c r="D1264" s="17" t="str">
        <x:v>2026-07-28 08:30:00</x:v>
      </x:c>
      <x:c r="E1264" s="17" t="str">
        <x:v>Johnson&amp;Johnson</x:v>
      </x:c>
      <x:c r="F1264" s="17" t="str">
        <x:v>Alberto Cardoso - +55 (12) 99629-4747</x:v>
      </x:c>
      <x:c r="G1264" s="17" t="str">
        <x:v>Confirmado</x:v>
      </x:c>
      <x:c r="H1264" s="17" t="str">
        <x:v>Pago</x:v>
      </x:c>
      <x:c r="I1264" s="2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e6b726ef4d468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.75" hidden="0" customWidth="1"/>
    <x:col min="2" max="2" width="6.630000114440918" hidden="0" customWidth="1"/>
    <x:col min="3" max="3" width="11.130000114440918" hidden="0" customWidth="1"/>
    <x:col min="4" max="4" width="7.25" hidden="0" customWidth="1"/>
    <x:col min="5" max="5" width="16.8799991607666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15" hidden="0" customHeight="1">
      <x:c r="A1" s="18" t="str">
        <x:v>Linha origem</x:v>
      </x:c>
      <x:c r="B1" s="20" t="str">
        <x:v>OP</x:v>
      </x:c>
      <x:c r="C1" s="20" t="str">
        <x:v>ID pagante</x:v>
      </x:c>
      <x:c r="D1" s="20" t="str">
        <x:v>Valor</x:v>
      </x:c>
      <x:c r="E1" s="20" t="str">
        <x:v>Status pagamento</x:v>
      </x:c>
      <x:c r="F1" s="20" t="str">
        <x:v>Pagante</x:v>
      </x:c>
      <x:c r="G1" s="20" t="str">
        <x:v>Forma pagamento</x:v>
      </x:c>
      <x:c r="H1" s="19" t="str">
        <x:v>Data criação</x:v>
      </x:c>
    </x:row>
    <x:row r="2" ht="15" hidden="0" customHeight="1">
      <x:c r="A2" s="17" t="n">
        <x:v>2</x:v>
      </x:c>
      <x:c r="B2" s="17" t="str">
        <x:v>OP-1359</x:v>
      </x:c>
      <x:c r="C2" s="17" t="str">
        <x:v>PAG-1323</x:v>
      </x:c>
      <x:c r="D2" s="21" t="n">
        <x:v>1346.31</x:v>
      </x:c>
      <x:c r="E2" s="17" t="str">
        <x:v>Pendente</x:v>
      </x:c>
      <x:c r="F2" s="17" t="str">
        <x:v>Lucas Lopez</x:v>
      </x:c>
      <x:c r="G2" s="17" t="str">
        <x:v>Cartão de crédito</x:v>
      </x:c>
      <x:c r="H2" s="17" t="str">
        <x:v>2026-07-22 15:35:33</x:v>
      </x:c>
    </x:row>
    <x:row r="3" ht="15" hidden="0" customHeight="1">
      <x:c r="A3" s="17" t="n">
        <x:v>3</x:v>
      </x:c>
      <x:c r="B3" s="17" t="str">
        <x:v>OP-1359</x:v>
      </x:c>
      <x:c r="C3" s="17" t="str">
        <x:v>PAG-1324</x:v>
      </x:c>
      <x:c r="D3" s="21" t="n">
        <x:v>1346.31</x:v>
      </x:c>
      <x:c r="E3" s="17" t="str">
        <x:v>Pendente</x:v>
      </x:c>
      <x:c r="F3" s="17" t="str">
        <x:v>Ray Nordmeyer</x:v>
      </x:c>
      <x:c r="G3" s="17" t="str">
        <x:v>Cartão de crédito</x:v>
      </x:c>
      <x:c r="H3" s="17" t="str">
        <x:v>2026-07-22 15:35:33</x:v>
      </x:c>
    </x:row>
    <x:row r="4" ht="15" hidden="0" customHeight="1">
      <x:c r="A4" s="17" t="n">
        <x:v>4</x:v>
      </x:c>
      <x:c r="B4" s="17" t="str">
        <x:v>OP-1359</x:v>
      </x:c>
      <x:c r="C4" s="17" t="str">
        <x:v>PAG-1322</x:v>
      </x:c>
      <x:c r="D4" s="21" t="n">
        <x:v>1346.31</x:v>
      </x:c>
      <x:c r="E4" s="17" t="str">
        <x:v>Pendente</x:v>
      </x:c>
      <x:c r="F4" s="17" t="str">
        <x:v>David Nield</x:v>
      </x:c>
      <x:c r="G4" s="17" t="str">
        <x:v>Cartão de crédito</x:v>
      </x:c>
      <x:c r="H4" s="17" t="str">
        <x:v>2026-07-22 15:35:32</x:v>
      </x:c>
    </x:row>
    <x:row r="5" ht="15" hidden="0" customHeight="1">
      <x:c r="A5" s="17" t="n">
        <x:v>5</x:v>
      </x:c>
      <x:c r="B5" s="17" t="str">
        <x:v>OP-1360</x:v>
      </x:c>
      <x:c r="C5" s="17" t="str">
        <x:v>PAG-1321</x:v>
      </x:c>
      <x:c r="D5" s="21" t="n">
        <x:v>2414.1</x:v>
      </x:c>
      <x:c r="E5" s="17" t="str">
        <x:v>Pendente</x:v>
      </x:c>
      <x:c r="F5" s="17" t="str">
        <x:v>Bruno Bueno</x:v>
      </x:c>
      <x:c r="G5" s="17" t="str">
        <x:v>Cartão de crédito</x:v>
      </x:c>
      <x:c r="H5" s="17" t="str">
        <x:v>2026-07-22 11:21:58</x:v>
      </x:c>
    </x:row>
    <x:row r="6" ht="15" hidden="0" customHeight="1">
      <x:c r="A6" s="17" t="n">
        <x:v>6</x:v>
      </x:c>
      <x:c r="B6" s="17" t="str">
        <x:v>OP-1354</x:v>
      </x:c>
      <x:c r="C6" s="17" t="str">
        <x:v>PAG-1317</x:v>
      </x:c>
      <x:c r="D6" s="21" t="n">
        <x:v>1073</x:v>
      </x:c>
      <x:c r="E6" s="17" t="str">
        <x:v>Cancelado</x:v>
      </x:c>
      <x:c r="F6" s="17" t="str">
        <x:v>Alvadi Serpa Junior</x:v>
      </x:c>
      <x:c r="G6" s="17" t="str">
        <x:v>Cartão de crédito</x:v>
      </x:c>
      <x:c r="H6" s="17" t="str">
        <x:v>2026-07-20 14:10:36</x:v>
      </x:c>
    </x:row>
    <x:row r="7" ht="15" hidden="0" customHeight="1">
      <x:c r="A7" s="17" t="n">
        <x:v>7</x:v>
      </x:c>
      <x:c r="B7" s="17" t="str">
        <x:v>OP-1352</x:v>
      </x:c>
      <x:c r="C7" s="17" t="str">
        <x:v>PAG-1316</x:v>
      </x:c>
      <x:c r="D7" s="21" t="n">
        <x:v>2300.8</x:v>
      </x:c>
      <x:c r="E7" s="17" t="str">
        <x:v>Pendente</x:v>
      </x:c>
      <x:c r="F7" s="17" t="str">
        <x:v>Sheyla Francisca Santos Braccini</x:v>
      </x:c>
      <x:c r="G7" s="17" t="str">
        <x:v>Cartão de crédito</x:v>
      </x:c>
      <x:c r="H7" s="17" t="str">
        <x:v>2026-07-20 11:28:36</x:v>
      </x:c>
    </x:row>
    <x:row r="8" ht="15" hidden="0" customHeight="1">
      <x:c r="A8" s="17" t="n">
        <x:v>8</x:v>
      </x:c>
      <x:c r="B8" s="17" t="str">
        <x:v>OP-1350</x:v>
      </x:c>
      <x:c r="C8" s="17" t="str">
        <x:v>PAG-1315</x:v>
      </x:c>
      <x:c r="D8" s="21" t="n">
        <x:v>1974.18</x:v>
      </x:c>
      <x:c r="E8" s="17" t="str">
        <x:v>Pago</x:v>
      </x:c>
      <x:c r="F8" s="17" t="str">
        <x:v>Gabriela Gonçalves Marchesi</x:v>
      </x:c>
      <x:c r="G8" s="17" t="str">
        <x:v>Cartão de crédito</x:v>
      </x:c>
      <x:c r="H8" s="17" t="str">
        <x:v>2026-07-20 11:08:55</x:v>
      </x:c>
    </x:row>
    <x:row r="9" ht="15" hidden="0" customHeight="1">
      <x:c r="A9" s="17" t="n">
        <x:v>9</x:v>
      </x:c>
      <x:c r="B9" s="17" t="str">
        <x:v>OP-1349</x:v>
      </x:c>
      <x:c r="C9" s="17" t="str">
        <x:v>PAG-1314</x:v>
      </x:c>
      <x:c r="D9" s="21" t="n">
        <x:v>1050.72</x:v>
      </x:c>
      <x:c r="E9" s="17" t="str">
        <x:v>Pago</x:v>
      </x:c>
      <x:c r="F9" s="17" t="str">
        <x:v>Gabriela Gonçalves Marchesi</x:v>
      </x:c>
      <x:c r="G9" s="17" t="str">
        <x:v>Cartão de crédito</x:v>
      </x:c>
      <x:c r="H9" s="17" t="str">
        <x:v>2026-07-20 11:04:58</x:v>
      </x:c>
    </x:row>
    <x:row r="10" ht="15" hidden="0" customHeight="1">
      <x:c r="A10" s="17" t="n">
        <x:v>10</x:v>
      </x:c>
      <x:c r="B10" s="17" t="str">
        <x:v>OP-1348</x:v>
      </x:c>
      <x:c r="C10" s="17" t="str">
        <x:v>PAG-1313</x:v>
      </x:c>
      <x:c r="D10" s="21" t="n">
        <x:v>1050.72</x:v>
      </x:c>
      <x:c r="E10" s="17" t="str">
        <x:v>Pago</x:v>
      </x:c>
      <x:c r="F10" s="17" t="str">
        <x:v>Mateus Montemor</x:v>
      </x:c>
      <x:c r="G10" s="17" t="str">
        <x:v>Cartão de crédito</x:v>
      </x:c>
      <x:c r="H10" s="17" t="str">
        <x:v>2026-07-20 10:58:49</x:v>
      </x:c>
    </x:row>
    <x:row r="11" ht="15" hidden="0" customHeight="1">
      <x:c r="A11" s="17" t="n">
        <x:v>11</x:v>
      </x:c>
      <x:c r="B11" s="17" t="str">
        <x:v>OP-1347</x:v>
      </x:c>
      <x:c r="C11" s="17" t="str">
        <x:v>PAG-1312</x:v>
      </x:c>
      <x:c r="D11" s="21" t="n">
        <x:v>952.96</x:v>
      </x:c>
      <x:c r="E11" s="17" t="str">
        <x:v>Pago</x:v>
      </x:c>
      <x:c r="F11" s="17" t="str">
        <x:v>Thais Figueiredo</x:v>
      </x:c>
      <x:c r="G11" s="17" t="str">
        <x:v>Cartão de crédito</x:v>
      </x:c>
      <x:c r="H11" s="17" t="str">
        <x:v>2026-07-20 10:55:56</x:v>
      </x:c>
    </x:row>
    <x:row r="12" ht="15" hidden="0" customHeight="1">
      <x:c r="A12" s="17" t="n">
        <x:v>12</x:v>
      </x:c>
      <x:c r="B12" s="17" t="str">
        <x:v>OP-1346</x:v>
      </x:c>
      <x:c r="C12" s="17" t="str">
        <x:v>PAG-1311</x:v>
      </x:c>
      <x:c r="D12" s="21" t="n">
        <x:v>952.96</x:v>
      </x:c>
      <x:c r="E12" s="17" t="str">
        <x:v>Pago</x:v>
      </x:c>
      <x:c r="F12" s="17" t="str">
        <x:v>Lucas Medina</x:v>
      </x:c>
      <x:c r="G12" s="17" t="str">
        <x:v>Cartão de crédito</x:v>
      </x:c>
      <x:c r="H12" s="17" t="str">
        <x:v>2026-07-20 10:52:08</x:v>
      </x:c>
    </x:row>
    <x:row r="13" ht="15" hidden="0" customHeight="1">
      <x:c r="A13" s="17" t="n">
        <x:v>13</x:v>
      </x:c>
      <x:c r="B13" s="17" t="str">
        <x:v>OP-1345</x:v>
      </x:c>
      <x:c r="C13" s="17" t="str">
        <x:v>PAG-1310</x:v>
      </x:c>
      <x:c r="D13" s="21" t="n">
        <x:v>1050.72</x:v>
      </x:c>
      <x:c r="E13" s="17" t="str">
        <x:v>Pendente</x:v>
      </x:c>
      <x:c r="F13" s="17" t="str">
        <x:v>Vitória Abreu Santos</x:v>
      </x:c>
      <x:c r="G13" s="17" t="str">
        <x:v>Cartão de crédito</x:v>
      </x:c>
      <x:c r="H13" s="17" t="str">
        <x:v>2026-07-20 10:40:31</x:v>
      </x:c>
    </x:row>
    <x:row r="14" ht="15" hidden="0" customHeight="1">
      <x:c r="A14" s="17" t="n">
        <x:v>14</x:v>
      </x:c>
      <x:c r="B14" s="17" t="str">
        <x:v>OP-1344</x:v>
      </x:c>
      <x:c r="C14" s="17" t="str">
        <x:v>PAG-1309</x:v>
      </x:c>
      <x:c r="D14" s="21" t="n">
        <x:v>509.98</x:v>
      </x:c>
      <x:c r="E14" s="17" t="str">
        <x:v>Pago</x:v>
      </x:c>
      <x:c r="F14" s="17" t="str">
        <x:v>Isabela Andrade</x:v>
      </x:c>
      <x:c r="G14" s="17" t="str">
        <x:v>Cartão de crédito</x:v>
      </x:c>
      <x:c r="H14" s="17" t="str">
        <x:v>2026-07-20 10:39:17</x:v>
      </x:c>
    </x:row>
    <x:row r="15" ht="15" hidden="0" customHeight="1">
      <x:c r="A15" s="17" t="n">
        <x:v>15</x:v>
      </x:c>
      <x:c r="B15" s="17" t="str">
        <x:v>OP-1343</x:v>
      </x:c>
      <x:c r="C15" s="17" t="str">
        <x:v>PAG-1308</x:v>
      </x:c>
      <x:c r="D15" s="21" t="n">
        <x:v>952.96</x:v>
      </x:c>
      <x:c r="E15" s="17" t="str">
        <x:v>Pago</x:v>
      </x:c>
      <x:c r="F15" s="17" t="str">
        <x:v>Gabriela Junqueira da Silva</x:v>
      </x:c>
      <x:c r="G15" s="17" t="str">
        <x:v>Cartão de crédito</x:v>
      </x:c>
      <x:c r="H15" s="17" t="str">
        <x:v>2026-07-20 10:35:25</x:v>
      </x:c>
    </x:row>
    <x:row r="16" ht="15" hidden="0" customHeight="1">
      <x:c r="A16" s="17" t="n">
        <x:v>16</x:v>
      </x:c>
      <x:c r="B16" s="17" t="str">
        <x:v>OP-1342</x:v>
      </x:c>
      <x:c r="C16" s="17" t="str">
        <x:v>PAG-1307</x:v>
      </x:c>
      <x:c r="D16" s="21" t="n">
        <x:v>859.1</x:v>
      </x:c>
      <x:c r="E16" s="17" t="str">
        <x:v>Pago</x:v>
      </x:c>
      <x:c r="F16" s="17" t="str">
        <x:v>Rene Costa Araújo</x:v>
      </x:c>
      <x:c r="G16" s="17" t="str">
        <x:v>Cartão de crédito</x:v>
      </x:c>
      <x:c r="H16" s="17" t="str">
        <x:v>2026-07-20 10:33:32</x:v>
      </x:c>
    </x:row>
    <x:row r="17" ht="15" hidden="0" customHeight="1">
      <x:c r="A17" s="17" t="n">
        <x:v>17</x:v>
      </x:c>
      <x:c r="B17" s="17" t="str">
        <x:v>OP-1341</x:v>
      </x:c>
      <x:c r="C17" s="17" t="str">
        <x:v>PAG-1306</x:v>
      </x:c>
      <x:c r="D17" s="21" t="n">
        <x:v>306</x:v>
      </x:c>
      <x:c r="E17" s="17" t="str">
        <x:v>Pago</x:v>
      </x:c>
      <x:c r="F17" s="17" t="str">
        <x:v>Thais Ferrara</x:v>
      </x:c>
      <x:c r="G17" s="17" t="str">
        <x:v>Cartão de crédito</x:v>
      </x:c>
      <x:c r="H17" s="17" t="str">
        <x:v>2026-07-20 09:05:10</x:v>
      </x:c>
    </x:row>
    <x:row r="18" ht="15" hidden="0" customHeight="1">
      <x:c r="A18" s="17" t="n">
        <x:v>18</x:v>
      </x:c>
      <x:c r="B18" s="17" t="str">
        <x:v>OP-1340</x:v>
      </x:c>
      <x:c r="C18" s="17" t="str">
        <x:v>PAG-1305</x:v>
      </x:c>
      <x:c r="D18" s="21" t="n">
        <x:v>4970</x:v>
      </x:c>
      <x:c r="E18" s="17" t="str">
        <x:v>Pago</x:v>
      </x:c>
      <x:c r="F18" s="17" t="str">
        <x:v>Daniel Santarem</x:v>
      </x:c>
      <x:c r="G18" s="17" t="str">
        <x:v>Cartão de crédito</x:v>
      </x:c>
      <x:c r="H18" s="17" t="str">
        <x:v>2026-07-20 08:33:58</x:v>
      </x:c>
    </x:row>
    <x:row r="19" ht="15" hidden="0" customHeight="1">
      <x:c r="A19" s="17" t="n">
        <x:v>20</x:v>
      </x:c>
      <x:c r="B19" s="17" t="str">
        <x:v>OP-1338</x:v>
      </x:c>
      <x:c r="C19" s="17" t="str">
        <x:v>PAG-1303</x:v>
      </x:c>
      <x:c r="D19" s="21" t="n">
        <x:v>913.38</x:v>
      </x:c>
      <x:c r="E19" s="17" t="str">
        <x:v>Pendente</x:v>
      </x:c>
      <x:c r="F19" s="17" t="str">
        <x:v>Cezar Franco</x:v>
      </x:c>
      <x:c r="G19" s="17" t="str">
        <x:v>Cartão de crédito</x:v>
      </x:c>
      <x:c r="H19" s="17" t="str">
        <x:v>2026-07-17 15:27:13</x:v>
      </x:c>
    </x:row>
    <x:row r="20" ht="15" hidden="0" customHeight="1">
      <x:c r="A20" s="17" t="n">
        <x:v>21</x:v>
      </x:c>
      <x:c r="B20" s="17" t="str">
        <x:v>OP-1337</x:v>
      </x:c>
      <x:c r="C20" s="17" t="str">
        <x:v>PAG-1302</x:v>
      </x:c>
      <x:c r="D20" s="21" t="n">
        <x:v>1142.42</x:v>
      </x:c>
      <x:c r="E20" s="17" t="str">
        <x:v>Pago</x:v>
      </x:c>
      <x:c r="F20" s="17" t="str">
        <x:v>Dinora Diaz Toledo</x:v>
      </x:c>
      <x:c r="G20" s="17" t="str">
        <x:v>Cartão de crédito</x:v>
      </x:c>
      <x:c r="H20" s="17" t="str">
        <x:v>2026-07-17 08:25:49</x:v>
      </x:c>
    </x:row>
    <x:row r="21" ht="15" hidden="0" customHeight="1">
      <x:c r="A21" s="17" t="n">
        <x:v>22</x:v>
      </x:c>
      <x:c r="B21" s="17" t="str">
        <x:v>OP-1335</x:v>
      </x:c>
      <x:c r="C21" s="17" t="str">
        <x:v>PAG-1301</x:v>
      </x:c>
      <x:c r="D21" s="21" t="n">
        <x:v>952.96</x:v>
      </x:c>
      <x:c r="E21" s="17" t="str">
        <x:v>Pendente</x:v>
      </x:c>
      <x:c r="F21" s="17" t="str">
        <x:v>Monica Nakamura</x:v>
      </x:c>
      <x:c r="G21" s="17" t="str">
        <x:v>Cartão de crédito</x:v>
      </x:c>
      <x:c r="H21" s="17" t="str">
        <x:v>2026-07-16 15:54:15</x:v>
      </x:c>
    </x:row>
    <x:row r="22" ht="15" hidden="0" customHeight="1">
      <x:c r="A22" s="17" t="n">
        <x:v>23</x:v>
      </x:c>
      <x:c r="B22" s="17" t="str">
        <x:v>OP-1334</x:v>
      </x:c>
      <x:c r="C22" s="17" t="str">
        <x:v>PAG-1300</x:v>
      </x:c>
      <x:c r="D22" s="21" t="n">
        <x:v>1406.86</x:v>
      </x:c>
      <x:c r="E22" s="17" t="str">
        <x:v>Pago</x:v>
      </x:c>
      <x:c r="F22" s="17" t="str">
        <x:v>Robert Lettner</x:v>
      </x:c>
      <x:c r="G22" s="17" t="str">
        <x:v>Cartão de crédito</x:v>
      </x:c>
      <x:c r="H22" s="17" t="str">
        <x:v>2026-07-16 13:51:49</x:v>
      </x:c>
    </x:row>
    <x:row r="23" ht="15" hidden="0" customHeight="1">
      <x:c r="A23" s="17" t="n">
        <x:v>24</x:v>
      </x:c>
      <x:c r="B23" s="17" t="str">
        <x:v>OP-1333</x:v>
      </x:c>
      <x:c r="C23" s="17" t="str">
        <x:v>PAG-1299</x:v>
      </x:c>
      <x:c r="D23" s="21" t="n">
        <x:v>1085.84</x:v>
      </x:c>
      <x:c r="E23" s="17" t="str">
        <x:v>Pago</x:v>
      </x:c>
      <x:c r="F23" s="17" t="str">
        <x:v>Jay Beaver</x:v>
      </x:c>
      <x:c r="G23" s="17" t="str">
        <x:v>Cartão de crédito</x:v>
      </x:c>
      <x:c r="H23" s="17" t="str">
        <x:v>2026-07-15 13:31:58</x:v>
      </x:c>
    </x:row>
    <x:row r="24" ht="15" hidden="0" customHeight="1">
      <x:c r="A24" s="17" t="n">
        <x:v>25</x:v>
      </x:c>
      <x:c r="B24" s="17" t="str">
        <x:v>OP-1332</x:v>
      </x:c>
      <x:c r="C24" s="17" t="str">
        <x:v>PAG-1298</x:v>
      </x:c>
      <x:c r="D24" s="21" t="n">
        <x:v>253.79</x:v>
      </x:c>
      <x:c r="E24" s="17" t="str">
        <x:v>Pago</x:v>
      </x:c>
      <x:c r="F24" s="17" t="str">
        <x:v>Janaina</x:v>
      </x:c>
      <x:c r="G24" s="17" t="str">
        <x:v>Cartão de crédito</x:v>
      </x:c>
      <x:c r="H24" s="17" t="str">
        <x:v>2026-07-14 16:45:36</x:v>
      </x:c>
    </x:row>
    <x:row r="25" ht="15" hidden="0" customHeight="1">
      <x:c r="A25" s="17" t="n">
        <x:v>26</x:v>
      </x:c>
      <x:c r="B25" s="17" t="str">
        <x:v>OP-1320</x:v>
      </x:c>
      <x:c r="C25" s="17" t="str">
        <x:v>PAG-1297</x:v>
      </x:c>
      <x:c r="D25" s="21" t="n">
        <x:v>4958.28</x:v>
      </x:c>
      <x:c r="E25" s="17" t="str">
        <x:v>Pago</x:v>
      </x:c>
      <x:c r="F25" s="17" t="str">
        <x:v>Maria Luz Menendez</x:v>
      </x:c>
      <x:c r="G25" s="17" t="str">
        <x:v>Cartão de crédito</x:v>
      </x:c>
      <x:c r="H25" s="17" t="str">
        <x:v>2026-07-14 10:32:04</x:v>
      </x:c>
    </x:row>
    <x:row r="26" ht="15" hidden="0" customHeight="1">
      <x:c r="A26" s="17" t="n">
        <x:v>27</x:v>
      </x:c>
      <x:c r="B26" s="17" t="str">
        <x:v>OP-1331</x:v>
      </x:c>
      <x:c r="C26" s="17" t="str">
        <x:v>PAG-1296</x:v>
      </x:c>
      <x:c r="D26" s="21" t="n">
        <x:v>1427.64</x:v>
      </x:c>
      <x:c r="E26" s="17" t="str">
        <x:v>Pendente</x:v>
      </x:c>
      <x:c r="F26" s="17" t="str">
        <x:v>André Luis Ferreira dos Santos</x:v>
      </x:c>
      <x:c r="G26" s="17" t="str">
        <x:v>Cartão de crédito</x:v>
      </x:c>
      <x:c r="H26" s="17" t="str">
        <x:v>2026-07-14 09:57:49</x:v>
      </x:c>
    </x:row>
    <x:row r="27" ht="15" hidden="0" customHeight="1">
      <x:c r="A27" s="17" t="n">
        <x:v>28</x:v>
      </x:c>
      <x:c r="B27" s="17" t="str">
        <x:v>OP-1330</x:v>
      </x:c>
      <x:c r="C27" s="17" t="str">
        <x:v>PAG-1295</x:v>
      </x:c>
      <x:c r="D27" s="21" t="n">
        <x:v>1148.48</x:v>
      </x:c>
      <x:c r="E27" s="17" t="str">
        <x:v>Pago</x:v>
      </x:c>
      <x:c r="F27" s="17" t="str">
        <x:v>Simone Moraes</x:v>
      </x:c>
      <x:c r="G27" s="17" t="str">
        <x:v>Cartão de crédito</x:v>
      </x:c>
      <x:c r="H27" s="17" t="str">
        <x:v>2026-07-13 16:39:45</x:v>
      </x:c>
    </x:row>
    <x:row r="28" ht="15" hidden="0" customHeight="1">
      <x:c r="A28" s="17" t="n">
        <x:v>29</x:v>
      </x:c>
      <x:c r="B28" s="17" t="str">
        <x:v>OP-1328</x:v>
      </x:c>
      <x:c r="C28" s="17" t="str">
        <x:v>PAG-1294</x:v>
      </x:c>
      <x:c r="D28" s="21" t="n">
        <x:v>1050.72</x:v>
      </x:c>
      <x:c r="E28" s="17" t="str">
        <x:v>Pago</x:v>
      </x:c>
      <x:c r="F28" s="17" t="str">
        <x:v>Jéssica Nery</x:v>
      </x:c>
      <x:c r="G28" s="17" t="str">
        <x:v>Cartão de crédito</x:v>
      </x:c>
      <x:c r="H28" s="17" t="str">
        <x:v>2026-07-13 15:24:46</x:v>
      </x:c>
    </x:row>
    <x:row r="29" ht="15" hidden="0" customHeight="1">
      <x:c r="A29" s="17" t="n">
        <x:v>30</x:v>
      </x:c>
      <x:c r="B29" s="17" t="str">
        <x:v>OP-1327</x:v>
      </x:c>
      <x:c r="C29" s="17" t="str">
        <x:v>PAG-1292</x:v>
      </x:c>
      <x:c r="D29" s="21" t="n">
        <x:v>2103.5</x:v>
      </x:c>
      <x:c r="E29" s="17" t="str">
        <x:v>Pago</x:v>
      </x:c>
      <x:c r="F29" s="17" t="str">
        <x:v>Simone Franco</x:v>
      </x:c>
      <x:c r="G29" s="17" t="str">
        <x:v>Cartão de crédito</x:v>
      </x:c>
      <x:c r="H29" s="17" t="str">
        <x:v>2026-07-13 14:37:05</x:v>
      </x:c>
    </x:row>
    <x:row r="30" ht="15" hidden="0" customHeight="1">
      <x:c r="A30" s="17" t="n">
        <x:v>31</x:v>
      </x:c>
      <x:c r="B30" s="17" t="str">
        <x:v>OP-1325</x:v>
      </x:c>
      <x:c r="C30" s="17" t="str">
        <x:v>PAG-1288</x:v>
      </x:c>
      <x:c r="D30" s="21" t="n">
        <x:v>967.66</x:v>
      </x:c>
      <x:c r="E30" s="17" t="str">
        <x:v>Pago</x:v>
      </x:c>
      <x:c r="F30" s="17" t="str">
        <x:v>Barbara Marcucci Sansonio</x:v>
      </x:c>
      <x:c r="G30" s="17" t="str">
        <x:v>Cartão de crédito</x:v>
      </x:c>
      <x:c r="H30" s="17" t="str">
        <x:v>2026-07-13 12:01:20</x:v>
      </x:c>
    </x:row>
    <x:row r="31" ht="15" hidden="0" customHeight="1">
      <x:c r="A31" s="17" t="n">
        <x:v>32</x:v>
      </x:c>
      <x:c r="B31" s="17" t="str">
        <x:v>OP-1299</x:v>
      </x:c>
      <x:c r="C31" s="17" t="str">
        <x:v>PAG-1287</x:v>
      </x:c>
      <x:c r="D31" s="21" t="n">
        <x:v>952.96</x:v>
      </x:c>
      <x:c r="E31" s="17" t="str">
        <x:v>Pago</x:v>
      </x:c>
      <x:c r="F31" s="17" t="str">
        <x:v>Fernanda Pedrosa Runha</x:v>
      </x:c>
      <x:c r="G31" s="17" t="str">
        <x:v>Cartão de crédito</x:v>
      </x:c>
      <x:c r="H31" s="17" t="str">
        <x:v>2026-07-08 16:19:21</x:v>
      </x:c>
    </x:row>
    <x:row r="32" ht="15" hidden="0" customHeight="1">
      <x:c r="A32" s="17" t="n">
        <x:v>33</x:v>
      </x:c>
      <x:c r="B32" s="17" t="str">
        <x:v>OP-1324</x:v>
      </x:c>
      <x:c r="C32" s="17" t="str">
        <x:v>PAG-1286</x:v>
      </x:c>
      <x:c r="D32" s="21" t="n">
        <x:v>1232.12</x:v>
      </x:c>
      <x:c r="E32" s="17" t="str">
        <x:v>Pago</x:v>
      </x:c>
      <x:c r="F32" s="17" t="str">
        <x:v>Giulia do Lago</x:v>
      </x:c>
      <x:c r="G32" s="17" t="str">
        <x:v>Cartão de crédito</x:v>
      </x:c>
      <x:c r="H32" s="17" t="str">
        <x:v>2026-07-08 16:05:27</x:v>
      </x:c>
    </x:row>
    <x:row r="33" ht="15" hidden="0" customHeight="1">
      <x:c r="A33" s="17" t="n">
        <x:v>34</x:v>
      </x:c>
      <x:c r="B33" s="17" t="str">
        <x:v>OP-1323</x:v>
      </x:c>
      <x:c r="C33" s="17" t="str">
        <x:v>PAG-1285</x:v>
      </x:c>
      <x:c r="D33" s="21" t="n">
        <x:v>837.21</x:v>
      </x:c>
      <x:c r="E33" s="17" t="str">
        <x:v>Pago</x:v>
      </x:c>
      <x:c r="F33" s="17" t="str">
        <x:v>Laura Figueiredo Santos</x:v>
      </x:c>
      <x:c r="G33" s="17" t="str">
        <x:v>Cartão de crédito</x:v>
      </x:c>
      <x:c r="H33" s="17" t="str">
        <x:v>2026-07-08 16:03:13</x:v>
      </x:c>
    </x:row>
    <x:row r="34" ht="15" hidden="0" customHeight="1">
      <x:c r="A34" s="17" t="n">
        <x:v>35</x:v>
      </x:c>
      <x:c r="B34" s="17" t="str">
        <x:v>OP-1322</x:v>
      </x:c>
      <x:c r="C34" s="17" t="str">
        <x:v>PAG-1284</x:v>
      </x:c>
      <x:c r="D34" s="21" t="n">
        <x:v>1332.55</x:v>
      </x:c>
      <x:c r="E34" s="17" t="str">
        <x:v>Pago</x:v>
      </x:c>
      <x:c r="F34" s="17" t="str">
        <x:v>Roneide Oliveira</x:v>
      </x:c>
      <x:c r="G34" s="17" t="str">
        <x:v>Cartão de crédito</x:v>
      </x:c>
      <x:c r="H34" s="17" t="str">
        <x:v>2026-07-08 11:08:16</x:v>
      </x:c>
    </x:row>
    <x:row r="35" ht="15" hidden="0" customHeight="1">
      <x:c r="A35" s="17" t="n">
        <x:v>36</x:v>
      </x:c>
      <x:c r="B35" s="17" t="str">
        <x:v>OP-1316</x:v>
      </x:c>
      <x:c r="C35" s="17" t="str">
        <x:v>PAG-1283</x:v>
      </x:c>
      <x:c r="D35" s="21" t="n">
        <x:v>304</x:v>
      </x:c>
      <x:c r="E35" s="17" t="str">
        <x:v>Pendente</x:v>
      </x:c>
      <x:c r="F35" s="17" t="str">
        <x:v>Thiago Morandini </x:v>
      </x:c>
      <x:c r="G35" s="17" t="str">
        <x:v>Cartão de crédito</x:v>
      </x:c>
      <x:c r="H35" s="17" t="str">
        <x:v>2026-07-08 10:56:59</x:v>
      </x:c>
    </x:row>
    <x:row r="36" ht="15" hidden="0" customHeight="1">
      <x:c r="A36" s="17" t="n">
        <x:v>37</x:v>
      </x:c>
      <x:c r="B36" s="17" t="str">
        <x:v>OP-1321</x:v>
      </x:c>
      <x:c r="C36" s="17" t="str">
        <x:v>PAG-1282</x:v>
      </x:c>
      <x:c r="D36" s="21" t="n">
        <x:v>1050.72</x:v>
      </x:c>
      <x:c r="E36" s="17" t="str">
        <x:v>Pago</x:v>
      </x:c>
      <x:c r="F36" s="17" t="str">
        <x:v>Jéssica Nery</x:v>
      </x:c>
      <x:c r="G36" s="17" t="str">
        <x:v>Cartão de crédito</x:v>
      </x:c>
      <x:c r="H36" s="17" t="str">
        <x:v>2026-07-08 10:53:38</x:v>
      </x:c>
    </x:row>
    <x:row r="37" ht="15" hidden="0" customHeight="1">
      <x:c r="A37" s="17" t="n">
        <x:v>38</x:v>
      </x:c>
      <x:c r="B37" s="17" t="str">
        <x:v>OP-1319</x:v>
      </x:c>
      <x:c r="C37" s="17" t="str">
        <x:v>PAG-1281</x:v>
      </x:c>
      <x:c r="D37" s="21" t="n">
        <x:v>952.96</x:v>
      </x:c>
      <x:c r="E37" s="17" t="str">
        <x:v>Pago</x:v>
      </x:c>
      <x:c r="F37" s="17" t="str">
        <x:v>Vinicius Sannuti de Carvalho</x:v>
      </x:c>
      <x:c r="G37" s="17" t="str">
        <x:v>Cartão de crédito</x:v>
      </x:c>
      <x:c r="H37" s="17" t="str">
        <x:v>2026-07-07 08:58:02</x:v>
      </x:c>
    </x:row>
    <x:row r="38" ht="15" hidden="0" customHeight="1">
      <x:c r="A38" s="17" t="n">
        <x:v>39</x:v>
      </x:c>
      <x:c r="B38" s="17" t="str">
        <x:v>OP-1318</x:v>
      </x:c>
      <x:c r="C38" s="17" t="str">
        <x:v>PAG-1280</x:v>
      </x:c>
      <x:c r="D38" s="21" t="n">
        <x:v>962.65</x:v>
      </x:c>
      <x:c r="E38" s="17" t="str">
        <x:v>Pago</x:v>
      </x:c>
      <x:c r="F38" s="17" t="str">
        <x:v>Simone Moraes</x:v>
      </x:c>
      <x:c r="G38" s="17" t="str">
        <x:v>Cartão de crédito</x:v>
      </x:c>
      <x:c r="H38" s="17" t="str">
        <x:v>2026-07-07 08:57:40</x:v>
      </x:c>
    </x:row>
    <x:row r="39" ht="15" hidden="0" customHeight="1">
      <x:c r="A39" s="17" t="n">
        <x:v>40</x:v>
      </x:c>
      <x:c r="B39" s="17" t="str">
        <x:v>OP-1315</x:v>
      </x:c>
      <x:c r="C39" s="17" t="str">
        <x:v>PAG-1278</x:v>
      </x:c>
      <x:c r="D39" s="21" t="n">
        <x:v>2590</x:v>
      </x:c>
      <x:c r="E39" s="17" t="str">
        <x:v>Pago</x:v>
      </x:c>
      <x:c r="F39" s="17" t="str">
        <x:v>Guilherme Alexandre Mancilha Fogaça</x:v>
      </x:c>
      <x:c r="G39" s="17" t="str">
        <x:v>Cartão de crédito</x:v>
      </x:c>
      <x:c r="H39" s="17" t="str">
        <x:v>2026-07-06 11:26:49</x:v>
      </x:c>
    </x:row>
    <x:row r="40" ht="15" hidden="0" customHeight="1">
      <x:c r="A40" s="17" t="n">
        <x:v>41</x:v>
      </x:c>
      <x:c r="B40" s="17" t="str">
        <x:v>OP-1314</x:v>
      </x:c>
      <x:c r="C40" s="17" t="str">
        <x:v>PAG-1277</x:v>
      </x:c>
      <x:c r="D40" s="21" t="n">
        <x:v>1056.24</x:v>
      </x:c>
      <x:c r="E40" s="17" t="str">
        <x:v>Pago</x:v>
      </x:c>
      <x:c r="F40" s="17" t="str">
        <x:v>Wanessa Oliveira Costa</x:v>
      </x:c>
      <x:c r="G40" s="17" t="str">
        <x:v>Cartão de crédito</x:v>
      </x:c>
      <x:c r="H40" s="17" t="str">
        <x:v>2026-07-06 11:17:46</x:v>
      </x:c>
    </x:row>
    <x:row r="41" ht="15" hidden="0" customHeight="1">
      <x:c r="A41" s="17" t="n">
        <x:v>42</x:v>
      </x:c>
      <x:c r="B41" s="17" t="str">
        <x:v>OP-1313</x:v>
      </x:c>
      <x:c r="C41" s="17" t="str">
        <x:v>PAG-1276</x:v>
      </x:c>
      <x:c r="D41" s="21" t="n">
        <x:v>1290.69</x:v>
      </x:c>
      <x:c r="E41" s="17" t="str">
        <x:v>Pendente</x:v>
      </x:c>
      <x:c r="F41" s="17" t="str">
        <x:v>Denise C. Ribeiro</x:v>
      </x:c>
      <x:c r="G41" s="17" t="str">
        <x:v>Cartão de crédito</x:v>
      </x:c>
      <x:c r="H41" s="17" t="str">
        <x:v>2026-07-06 10:29:07</x:v>
      </x:c>
    </x:row>
    <x:row r="42" ht="15" hidden="0" customHeight="1">
      <x:c r="A42" s="17" t="n">
        <x:v>43</x:v>
      </x:c>
      <x:c r="B42" s="17" t="str">
        <x:v>OP-1311</x:v>
      </x:c>
      <x:c r="C42" s="17" t="str">
        <x:v>PAG-1275</x:v>
      </x:c>
      <x:c r="D42" s="21" t="n">
        <x:v>1204.29</x:v>
      </x:c>
      <x:c r="E42" s="17" t="str">
        <x:v>Pendente</x:v>
      </x:c>
      <x:c r="F42" s="17" t="str">
        <x:v>Gustavo Militão</x:v>
      </x:c>
      <x:c r="G42" s="17" t="str">
        <x:v>Cartão de crédito</x:v>
      </x:c>
      <x:c r="H42" s="17" t="str">
        <x:v>2026-07-06 09:56:15</x:v>
      </x:c>
    </x:row>
    <x:row r="43" ht="15" hidden="0" customHeight="1">
      <x:c r="A43" s="17" t="n">
        <x:v>44</x:v>
      </x:c>
      <x:c r="B43" s="17" t="str">
        <x:v>OP-1310</x:v>
      </x:c>
      <x:c r="C43" s="17" t="str">
        <x:v>PAG-1274</x:v>
      </x:c>
      <x:c r="D43" s="21" t="n">
        <x:v>1109.29</x:v>
      </x:c>
      <x:c r="E43" s="17" t="str">
        <x:v>Pago</x:v>
      </x:c>
      <x:c r="F43" s="17" t="str">
        <x:v>Ricardo Ramos</x:v>
      </x:c>
      <x:c r="G43" s="17" t="str">
        <x:v>Cartão de crédito</x:v>
      </x:c>
      <x:c r="H43" s="17" t="str">
        <x:v>2026-07-06 09:47:14</x:v>
      </x:c>
    </x:row>
    <x:row r="44" ht="15" hidden="0" customHeight="1">
      <x:c r="A44" s="17" t="n">
        <x:v>45</x:v>
      </x:c>
      <x:c r="B44" s="17" t="str">
        <x:v>OP-1309</x:v>
      </x:c>
      <x:c r="C44" s="17" t="str">
        <x:v>PAG-1273</x:v>
      </x:c>
      <x:c r="D44" s="21" t="n">
        <x:v>139.58</x:v>
      </x:c>
      <x:c r="E44" s="17" t="str">
        <x:v>Pago</x:v>
      </x:c>
      <x:c r="F44" s="17" t="str">
        <x:v>Maria Gabriela Martins Rossi</x:v>
      </x:c>
      <x:c r="G44" s="17" t="str">
        <x:v>Cartão de crédito</x:v>
      </x:c>
      <x:c r="H44" s="17" t="str">
        <x:v>2026-07-06 09:46:38</x:v>
      </x:c>
    </x:row>
    <x:row r="45" ht="15" hidden="0" customHeight="1">
      <x:c r="A45" s="17" t="n">
        <x:v>46</x:v>
      </x:c>
      <x:c r="B45" s="17" t="str">
        <x:v>OP-1308</x:v>
      </x:c>
      <x:c r="C45" s="17" t="str">
        <x:v>PAG-1272</x:v>
      </x:c>
      <x:c r="D45" s="21" t="n">
        <x:v>1273.98</x:v>
      </x:c>
      <x:c r="E45" s="17" t="str">
        <x:v>Pago</x:v>
      </x:c>
      <x:c r="F45" s="17" t="str">
        <x:v>Roneide Oliveira</x:v>
      </x:c>
      <x:c r="G45" s="17" t="str">
        <x:v>Cartão de crédito</x:v>
      </x:c>
      <x:c r="H45" s="17" t="str">
        <x:v>2026-07-06 09:10:12</x:v>
      </x:c>
    </x:row>
    <x:row r="46" ht="15" hidden="0" customHeight="1">
      <x:c r="A46" s="17" t="n">
        <x:v>47</x:v>
      </x:c>
      <x:c r="B46" s="17" t="str">
        <x:v>OP-1305</x:v>
      </x:c>
      <x:c r="C46" s="17" t="str">
        <x:v>PAG-1270</x:v>
      </x:c>
      <x:c r="D46" s="21" t="n">
        <x:v>1137.34</x:v>
      </x:c>
      <x:c r="E46" s="17" t="str">
        <x:v>Pago</x:v>
      </x:c>
      <x:c r="F46" s="17" t="str">
        <x:v>Sara Luz Mayen</x:v>
      </x:c>
      <x:c r="G46" s="17" t="str">
        <x:v>Cartão de crédito</x:v>
      </x:c>
      <x:c r="H46" s="17" t="str">
        <x:v>2026-07-06 08:18:35</x:v>
      </x:c>
    </x:row>
    <x:row r="47" ht="15" hidden="0" customHeight="1">
      <x:c r="A47" s="17" t="n">
        <x:v>48</x:v>
      </x:c>
      <x:c r="B47" s="17" t="str">
        <x:v>OP-1305</x:v>
      </x:c>
      <x:c r="C47" s="17" t="str">
        <x:v>PAG-1271</x:v>
      </x:c>
      <x:c r="D47" s="21" t="n">
        <x:v>1917.9</x:v>
      </x:c>
      <x:c r="E47" s="17" t="str">
        <x:v>Pago</x:v>
      </x:c>
      <x:c r="F47" s="17" t="str">
        <x:v>Alejandra Montero</x:v>
      </x:c>
      <x:c r="G47" s="17" t="str">
        <x:v>Cartão de crédito</x:v>
      </x:c>
      <x:c r="H47" s="17" t="str">
        <x:v>2026-07-06 08:18:35</x:v>
      </x:c>
    </x:row>
    <x:row r="48" ht="15" hidden="0" customHeight="1">
      <x:c r="A48" s="17" t="n">
        <x:v>49</x:v>
      </x:c>
      <x:c r="B48" s="17" t="str">
        <x:v>OP-1307</x:v>
      </x:c>
      <x:c r="C48" s="17" t="str">
        <x:v>PAG-1268</x:v>
      </x:c>
      <x:c r="D48" s="21" t="n">
        <x:v>545.27</x:v>
      </x:c>
      <x:c r="E48" s="17" t="str">
        <x:v>Pago</x:v>
      </x:c>
      <x:c r="F48" s="17" t="str">
        <x:v>Koray Dilmen</x:v>
      </x:c>
      <x:c r="G48" s="17" t="str">
        <x:v>Cartão de crédito</x:v>
      </x:c>
      <x:c r="H48" s="17" t="str">
        <x:v>2026-07-03 13:59:14</x:v>
      </x:c>
    </x:row>
    <x:row r="49" ht="15" hidden="0" customHeight="1">
      <x:c r="A49" s="17" t="n">
        <x:v>50</x:v>
      </x:c>
      <x:c r="B49" s="17" t="str">
        <x:v>OP-1307</x:v>
      </x:c>
      <x:c r="C49" s="17" t="str">
        <x:v>PAG-1269</x:v>
      </x:c>
      <x:c r="D49" s="21" t="n">
        <x:v>545.27</x:v>
      </x:c>
      <x:c r="E49" s="17" t="str">
        <x:v>Pago</x:v>
      </x:c>
      <x:c r="F49" s="17" t="str">
        <x:v>Yalçin Emre Ersöz</x:v>
      </x:c>
      <x:c r="G49" s="17" t="str">
        <x:v>Cartão de crédito</x:v>
      </x:c>
      <x:c r="H49" s="17" t="str">
        <x:v>2026-07-03 13:59:14</x:v>
      </x:c>
    </x:row>
    <x:row r="50" ht="15" hidden="0" customHeight="1">
      <x:c r="A50" s="17" t="n">
        <x:v>51</x:v>
      </x:c>
      <x:c r="B50" s="17" t="str">
        <x:v>OP-1306</x:v>
      </x:c>
      <x:c r="C50" s="17" t="str">
        <x:v>PAG-1267</x:v>
      </x:c>
      <x:c r="D50" s="21" t="n">
        <x:v>350</x:v>
      </x:c>
      <x:c r="E50" s="17" t="str">
        <x:v>Pago</x:v>
      </x:c>
      <x:c r="F50" s="17" t="str">
        <x:v>Vinicius Barbosa Mira</x:v>
      </x:c>
      <x:c r="G50" s="17" t="str">
        <x:v>Cartão de crédito</x:v>
      </x:c>
      <x:c r="H50" s="17" t="str">
        <x:v>2026-07-02 16:53:10</x:v>
      </x:c>
    </x:row>
    <x:row r="51" ht="15" hidden="0" customHeight="1">
      <x:c r="A51" s="17" t="n">
        <x:v>52</x:v>
      </x:c>
      <x:c r="B51" s="17" t="str">
        <x:v>OP-1303</x:v>
      </x:c>
      <x:c r="C51" s="17" t="str">
        <x:v>PAG-1264</x:v>
      </x:c>
      <x:c r="D51" s="21" t="n">
        <x:v>4984.03</x:v>
      </x:c>
      <x:c r="E51" s="17" t="str">
        <x:v>Pago</x:v>
      </x:c>
      <x:c r="F51" s="17" t="str">
        <x:v>Júlia Cordeiro</x:v>
      </x:c>
      <x:c r="G51" s="17" t="str">
        <x:v>Cartão de crédito</x:v>
      </x:c>
      <x:c r="H51" s="17" t="str">
        <x:v>2026-07-01 09:38:43</x:v>
      </x:c>
    </x:row>
    <x:row r="52" ht="15" hidden="0" customHeight="1">
      <x:c r="A52" s="17" t="n">
        <x:v>53</x:v>
      </x:c>
      <x:c r="B52" s="17" t="str">
        <x:v>OP-1302</x:v>
      </x:c>
      <x:c r="C52" s="17" t="str">
        <x:v>PAG-1263</x:v>
      </x:c>
      <x:c r="D52" s="21" t="n">
        <x:v>718.25</x:v>
      </x:c>
      <x:c r="E52" s="17" t="str">
        <x:v>Pago</x:v>
      </x:c>
      <x:c r="F52" s="17" t="str">
        <x:v>Sergio Silva</x:v>
      </x:c>
      <x:c r="G52" s="17" t="str">
        <x:v>Cartão de crédito</x:v>
      </x:c>
      <x:c r="H52" s="17" t="str">
        <x:v>2026-07-01 09:23:36</x:v>
      </x:c>
    </x:row>
    <x:row r="53" ht="15" hidden="0" customHeight="1">
      <x:c r="A53" s="17" t="n">
        <x:v>54</x:v>
      </x:c>
      <x:c r="B53" s="17" t="str">
        <x:v>OP-1301</x:v>
      </x:c>
      <x:c r="C53" s="17" t="str">
        <x:v>PAG-1262</x:v>
      </x:c>
      <x:c r="D53" s="21" t="n">
        <x:v>925.7</x:v>
      </x:c>
      <x:c r="E53" s="17" t="str">
        <x:v>Pago</x:v>
      </x:c>
      <x:c r="F53" s="17" t="str">
        <x:v>Sara Albuquerque</x:v>
      </x:c>
      <x:c r="G53" s="17" t="str">
        <x:v>Cartão de crédito</x:v>
      </x:c>
      <x:c r="H53" s="17" t="str">
        <x:v>2026-07-01 09:23:18</x:v>
      </x:c>
    </x:row>
    <x:row r="54" ht="15" hidden="0" customHeight="1">
      <x:c r="A54" s="17" t="n">
        <x:v>55</x:v>
      </x:c>
      <x:c r="B54" s="17" t="str">
        <x:v>OP-1300</x:v>
      </x:c>
      <x:c r="C54" s="17" t="str">
        <x:v>PAG-1261</x:v>
      </x:c>
      <x:c r="D54" s="21" t="n">
        <x:v>895.4</x:v>
      </x:c>
      <x:c r="E54" s="17" t="str">
        <x:v>Pago</x:v>
      </x:c>
      <x:c r="F54" s="17" t="str">
        <x:v>Vijay Laxmi Maurya</x:v>
      </x:c>
      <x:c r="G54" s="17" t="str">
        <x:v>Cartão de crédito</x:v>
      </x:c>
      <x:c r="H54" s="17" t="str">
        <x:v>2026-06-30 17:02:09</x:v>
      </x:c>
    </x:row>
    <x:row r="55" ht="15" hidden="0" customHeight="1">
      <x:c r="A55" s="17" t="n">
        <x:v>56</x:v>
      </x:c>
      <x:c r="B55" s="17" t="str">
        <x:v>OP-1298</x:v>
      </x:c>
      <x:c r="C55" s="17" t="str">
        <x:v>PAG-1259</x:v>
      </x:c>
      <x:c r="D55" s="21" t="n">
        <x:v>1050.72</x:v>
      </x:c>
      <x:c r="E55" s="17" t="str">
        <x:v>Pago</x:v>
      </x:c>
      <x:c r="F55" s="17" t="str">
        <x:v>Marcos Vinicius dos Santos</x:v>
      </x:c>
      <x:c r="G55" s="17" t="str">
        <x:v>Cartão de crédito</x:v>
      </x:c>
      <x:c r="H55" s="17" t="str">
        <x:v>2026-06-29 11:47:39</x:v>
      </x:c>
    </x:row>
    <x:row r="56" ht="15" hidden="0" customHeight="1">
      <x:c r="A56" s="17" t="n">
        <x:v>57</x:v>
      </x:c>
      <x:c r="B56" s="17" t="str">
        <x:v>OP-1297</x:v>
      </x:c>
      <x:c r="C56" s="17" t="str">
        <x:v>PAG-1258</x:v>
      </x:c>
      <x:c r="D56" s="21" t="n">
        <x:v>504.43</x:v>
      </x:c>
      <x:c r="E56" s="17" t="str">
        <x:v>Pago</x:v>
      </x:c>
      <x:c r="F56" s="17" t="str">
        <x:v>Suzy Higashibara</x:v>
      </x:c>
      <x:c r="G56" s="17" t="str">
        <x:v>Cartão de crédito</x:v>
      </x:c>
      <x:c r="H56" s="17" t="str">
        <x:v>2026-06-29 11:43:38</x:v>
      </x:c>
    </x:row>
    <x:row r="57" ht="15" hidden="0" customHeight="1">
      <x:c r="A57" s="17" t="n">
        <x:v>58</x:v>
      </x:c>
      <x:c r="B57" s="17" t="str">
        <x:v>OP-1297</x:v>
      </x:c>
      <x:c r="C57" s="17" t="str">
        <x:v>PAG-1257</x:v>
      </x:c>
      <x:c r="D57" s="21" t="n">
        <x:v>504.43</x:v>
      </x:c>
      <x:c r="E57" s="17" t="str">
        <x:v>Pago</x:v>
      </x:c>
      <x:c r="F57" s="17" t="str">
        <x:v>Larissa Lemes Avari Lauterjung</x:v>
      </x:c>
      <x:c r="G57" s="17" t="str">
        <x:v>Cartão de crédito</x:v>
      </x:c>
      <x:c r="H57" s="17" t="str">
        <x:v>2026-06-29 11:43:33</x:v>
      </x:c>
    </x:row>
    <x:row r="58" ht="15" hidden="0" customHeight="1">
      <x:c r="A58" s="17" t="n">
        <x:v>59</x:v>
      </x:c>
      <x:c r="B58" s="17" t="str">
        <x:v>OP-1296</x:v>
      </x:c>
      <x:c r="C58" s="17" t="str">
        <x:v>PAG-1256</x:v>
      </x:c>
      <x:c r="D58" s="21" t="n">
        <x:v>479.47</x:v>
      </x:c>
      <x:c r="E58" s="17" t="str">
        <x:v>Pago</x:v>
      </x:c>
      <x:c r="F58" s="17" t="str">
        <x:v>Jenner Cavalcanti Seixas</x:v>
      </x:c>
      <x:c r="G58" s="17" t="str">
        <x:v>Cartão de crédito</x:v>
      </x:c>
      <x:c r="H58" s="17" t="str">
        <x:v>2026-06-29 11:42:55</x:v>
      </x:c>
    </x:row>
    <x:row r="59" ht="15" hidden="0" customHeight="1">
      <x:c r="A59" s="17" t="n">
        <x:v>60</x:v>
      </x:c>
      <x:c r="B59" s="17" t="str">
        <x:v>OP-1296</x:v>
      </x:c>
      <x:c r="C59" s="17" t="str">
        <x:v>PAG-1255</x:v>
      </x:c>
      <x:c r="D59" s="21" t="n">
        <x:v>479.47</x:v>
      </x:c>
      <x:c r="E59" s="17" t="str">
        <x:v>Pago</x:v>
      </x:c>
      <x:c r="F59" s="17" t="str">
        <x:v>Rafael Eduardo Brenner</x:v>
      </x:c>
      <x:c r="G59" s="17" t="str">
        <x:v>Cartão de crédito</x:v>
      </x:c>
      <x:c r="H59" s="17" t="str">
        <x:v>2026-06-29 11:42:47</x:v>
      </x:c>
    </x:row>
    <x:row r="60" ht="15" hidden="0" customHeight="1">
      <x:c r="A60" s="17" t="n">
        <x:v>61</x:v>
      </x:c>
      <x:c r="B60" s="17" t="str">
        <x:v>OP-1295</x:v>
      </x:c>
      <x:c r="C60" s="17" t="str">
        <x:v>PAG-1254</x:v>
      </x:c>
      <x:c r="D60" s="21" t="n">
        <x:v>1628.74</x:v>
      </x:c>
      <x:c r="E60" s="17" t="str">
        <x:v>Pago</x:v>
      </x:c>
      <x:c r="F60" s="17" t="str">
        <x:v>Frederico Marcelino</x:v>
      </x:c>
      <x:c r="G60" s="17" t="str">
        <x:v>Cartão de crédito</x:v>
      </x:c>
      <x:c r="H60" s="17" t="str">
        <x:v>2026-06-26 15:36:44</x:v>
      </x:c>
    </x:row>
    <x:row r="61" ht="15" hidden="0" customHeight="1">
      <x:c r="A61" s="17" t="n">
        <x:v>62</x:v>
      </x:c>
      <x:c r="B61" s="17" t="str">
        <x:v>OP-1294</x:v>
      </x:c>
      <x:c r="C61" s="17" t="str">
        <x:v>PAG-1253</x:v>
      </x:c>
      <x:c r="D61" s="21" t="n">
        <x:v>952.96</x:v>
      </x:c>
      <x:c r="E61" s="17" t="str">
        <x:v>Pago</x:v>
      </x:c>
      <x:c r="F61" s="17" t="str">
        <x:v>Aline Galdieri</x:v>
      </x:c>
      <x:c r="G61" s="17" t="str">
        <x:v>Cartão de crédito</x:v>
      </x:c>
      <x:c r="H61" s="17" t="str">
        <x:v>2026-06-26 15:25:02</x:v>
      </x:c>
    </x:row>
    <x:row r="62" ht="15" hidden="0" customHeight="1">
      <x:c r="A62" s="17" t="n">
        <x:v>63</x:v>
      </x:c>
      <x:c r="B62" s="17" t="str">
        <x:v>OP-1293</x:v>
      </x:c>
      <x:c r="C62" s="17" t="str">
        <x:v>PAG-1252</x:v>
      </x:c>
      <x:c r="D62" s="21" t="n">
        <x:v>635.56</x:v>
      </x:c>
      <x:c r="E62" s="17" t="str">
        <x:v>Pago</x:v>
      </x:c>
      <x:c r="F62" s="17" t="str">
        <x:v>Gonzalo Blanco</x:v>
      </x:c>
      <x:c r="G62" s="17" t="str">
        <x:v>Cartão de crédito</x:v>
      </x:c>
      <x:c r="H62" s="17" t="str">
        <x:v>2026-06-26 14:42:50</x:v>
      </x:c>
    </x:row>
    <x:row r="63" ht="15" hidden="0" customHeight="1">
      <x:c r="A63" s="17" t="n">
        <x:v>64</x:v>
      </x:c>
      <x:c r="B63" s="17" t="str">
        <x:v>OP-1292</x:v>
      </x:c>
      <x:c r="C63" s="17" t="str">
        <x:v>PAG-1250</x:v>
      </x:c>
      <x:c r="D63" s="21" t="n">
        <x:v>4587.68</x:v>
      </x:c>
      <x:c r="E63" s="17" t="str">
        <x:v>Pago</x:v>
      </x:c>
      <x:c r="F63" s="17" t="str">
        <x:v>Reza Rahimi</x:v>
      </x:c>
      <x:c r="G63" s="17" t="str">
        <x:v>Cartão de crédito</x:v>
      </x:c>
      <x:c r="H63" s="17" t="str">
        <x:v>2026-06-26 11:16:51</x:v>
      </x:c>
    </x:row>
    <x:row r="64" ht="15" hidden="0" customHeight="1">
      <x:c r="A64" s="17" t="n">
        <x:v>65</x:v>
      </x:c>
      <x:c r="B64" s="17" t="str">
        <x:v>OP-1291</x:v>
      </x:c>
      <x:c r="C64" s="17" t="str">
        <x:v>PAG-1249</x:v>
      </x:c>
      <x:c r="D64" s="21" t="n">
        <x:v>711.02</x:v>
      </x:c>
      <x:c r="E64" s="17" t="str">
        <x:v>Pago</x:v>
      </x:c>
      <x:c r="F64" s="17" t="str">
        <x:v>Guillermo Tsujioka</x:v>
      </x:c>
      <x:c r="G64" s="17" t="str">
        <x:v>Cartão de crédito</x:v>
      </x:c>
      <x:c r="H64" s="17" t="str">
        <x:v>2026-06-26 08:17:01</x:v>
      </x:c>
    </x:row>
    <x:row r="65" ht="15" hidden="0" customHeight="1">
      <x:c r="A65" s="17" t="n">
        <x:v>66</x:v>
      </x:c>
      <x:c r="B65" s="17" t="str">
        <x:v>OP-1290</x:v>
      </x:c>
      <x:c r="C65" s="17" t="str">
        <x:v>PAG-1248</x:v>
      </x:c>
      <x:c r="D65" s="21" t="n">
        <x:v>871.53</x:v>
      </x:c>
      <x:c r="E65" s="17" t="str">
        <x:v>Pago</x:v>
      </x:c>
      <x:c r="F65" s="17" t="str">
        <x:v>Andrea Alvarez</x:v>
      </x:c>
      <x:c r="G65" s="17" t="str">
        <x:v>Cartão de crédito</x:v>
      </x:c>
      <x:c r="H65" s="17" t="str">
        <x:v>2026-06-25 15:38:35</x:v>
      </x:c>
    </x:row>
    <x:row r="66" ht="15" hidden="0" customHeight="1">
      <x:c r="A66" s="17" t="n">
        <x:v>67</x:v>
      </x:c>
      <x:c r="B66" s="17" t="str">
        <x:v>OP-1289</x:v>
      </x:c>
      <x:c r="C66" s="17" t="str">
        <x:v>PAG-1247</x:v>
      </x:c>
      <x:c r="D66" s="21" t="n">
        <x:v>5583.2</x:v>
      </x:c>
      <x:c r="E66" s="17" t="str">
        <x:v>Pago</x:v>
      </x:c>
      <x:c r="F66" s="17" t="str">
        <x:v>Alberto Cardoso</x:v>
      </x:c>
      <x:c r="G66" s="17" t="str">
        <x:v>Cartão de crédito</x:v>
      </x:c>
      <x:c r="H66" s="17" t="str">
        <x:v>2026-06-25 14:07:58</x:v>
      </x:c>
    </x:row>
    <x:row r="67" ht="15" hidden="0" customHeight="1">
      <x:c r="A67" s="17" t="n">
        <x:v>68</x:v>
      </x:c>
      <x:c r="B67" s="17" t="str">
        <x:v>OP-1288</x:v>
      </x:c>
      <x:c r="C67" s="17" t="str">
        <x:v>PAG-1246</x:v>
      </x:c>
      <x:c r="D67" s="21" t="n">
        <x:v>859.1</x:v>
      </x:c>
      <x:c r="E67" s="17" t="str">
        <x:v>Pago</x:v>
      </x:c>
      <x:c r="F67" s="17" t="str">
        <x:v>Victor Fukushima</x:v>
      </x:c>
      <x:c r="G67" s="17" t="str">
        <x:v>Cartão de crédito</x:v>
      </x:c>
      <x:c r="H67" s="17" t="str">
        <x:v>2026-06-25 13:33:16</x:v>
      </x:c>
    </x:row>
    <x:row r="68" ht="15" hidden="0" customHeight="1">
      <x:c r="A68" s="17" t="n">
        <x:v>69</x:v>
      </x:c>
      <x:c r="B68" s="17" t="str">
        <x:v>OP-1287</x:v>
      </x:c>
      <x:c r="C68" s="17" t="str">
        <x:v>PAG-1245</x:v>
      </x:c>
      <x:c r="D68" s="21" t="n">
        <x:v>1290</x:v>
      </x:c>
      <x:c r="E68" s="17" t="str">
        <x:v>Pago</x:v>
      </x:c>
      <x:c r="F68" s="17" t="str">
        <x:v>Fernando Silva Lopes</x:v>
      </x:c>
      <x:c r="G68" s="17" t="str">
        <x:v>Cartão de crédito</x:v>
      </x:c>
      <x:c r="H68" s="17" t="str">
        <x:v>2026-06-23 14:05:25</x:v>
      </x:c>
    </x:row>
    <x:row r="69" ht="15" hidden="0" customHeight="1">
      <x:c r="A69" s="17" t="n">
        <x:v>70</x:v>
      </x:c>
      <x:c r="B69" s="17" t="str">
        <x:v>OP-1286</x:v>
      </x:c>
      <x:c r="C69" s="17" t="str">
        <x:v>PAG-1244</x:v>
      </x:c>
      <x:c r="D69" s="21" t="n">
        <x:v>3212.54</x:v>
      </x:c>
      <x:c r="E69" s="17" t="str">
        <x:v>Pago</x:v>
      </x:c>
      <x:c r="F69" s="17" t="str">
        <x:v>Albert Liu</x:v>
      </x:c>
      <x:c r="G69" s="17" t="str">
        <x:v>Cartão de crédito</x:v>
      </x:c>
      <x:c r="H69" s="17" t="str">
        <x:v>2026-06-23 10:33:23</x:v>
      </x:c>
    </x:row>
    <x:row r="70" ht="15" hidden="0" customHeight="1">
      <x:c r="A70" s="17" t="n">
        <x:v>71</x:v>
      </x:c>
      <x:c r="B70" s="17" t="str">
        <x:v>OP-1283</x:v>
      </x:c>
      <x:c r="C70" s="17" t="str">
        <x:v>PAG-1243</x:v>
      </x:c>
      <x:c r="D70" s="21" t="n">
        <x:v>1056.24</x:v>
      </x:c>
      <x:c r="E70" s="17" t="str">
        <x:v>Pago</x:v>
      </x:c>
      <x:c r="F70" s="17" t="str">
        <x:v>Wanessa Oliveira Costa</x:v>
      </x:c>
      <x:c r="G70" s="17" t="str">
        <x:v>Cartão de crédito</x:v>
      </x:c>
      <x:c r="H70" s="17" t="str">
        <x:v>2026-06-22 10:56:23</x:v>
      </x:c>
    </x:row>
    <x:row r="71" ht="15" hidden="0" customHeight="1">
      <x:c r="A71" s="17" t="n">
        <x:v>72</x:v>
      </x:c>
      <x:c r="B71" s="17" t="str">
        <x:v>OP-1285</x:v>
      </x:c>
      <x:c r="C71" s="17" t="str">
        <x:v>PAG-1242</x:v>
      </x:c>
      <x:c r="D71" s="21" t="n">
        <x:v>1290</x:v>
      </x:c>
      <x:c r="E71" s="17" t="str">
        <x:v>Pago</x:v>
      </x:c>
      <x:c r="F71" s="17" t="str">
        <x:v>Fernando Silva Lopes</x:v>
      </x:c>
      <x:c r="G71" s="17" t="str">
        <x:v>Cartão de crédito</x:v>
      </x:c>
      <x:c r="H71" s="17" t="str">
        <x:v>2026-06-22 10:49:00</x:v>
      </x:c>
    </x:row>
    <x:row r="72" ht="15" hidden="0" customHeight="1">
      <x:c r="A72" s="17" t="n">
        <x:v>73</x:v>
      </x:c>
      <x:c r="B72" s="17" t="str">
        <x:v>OP-1284</x:v>
      </x:c>
      <x:c r="C72" s="17" t="str">
        <x:v>PAG-1241</x:v>
      </x:c>
      <x:c r="D72" s="21" t="n">
        <x:v>849</x:v>
      </x:c>
      <x:c r="E72" s="17" t="str">
        <x:v>Pago</x:v>
      </x:c>
      <x:c r="F72" s="17" t="str">
        <x:v>Larissa dos Santos</x:v>
      </x:c>
      <x:c r="G72" s="17" t="str">
        <x:v>Cartão de crédito</x:v>
      </x:c>
      <x:c r="H72" s="17" t="str">
        <x:v>2026-06-22 10:01:07</x:v>
      </x:c>
    </x:row>
    <x:row r="73" ht="15" hidden="0" customHeight="1">
      <x:c r="A73" s="17" t="n">
        <x:v>74</x:v>
      </x:c>
      <x:c r="B73" s="17" t="str">
        <x:v>OP-1282</x:v>
      </x:c>
      <x:c r="C73" s="17" t="str">
        <x:v>PAG-1238</x:v>
      </x:c>
      <x:c r="D73" s="21" t="n">
        <x:v>1421.03</x:v>
      </x:c>
      <x:c r="E73" s="17" t="str">
        <x:v>Pago</x:v>
      </x:c>
      <x:c r="F73" s="17" t="str">
        <x:v>Vanessa Lima</x:v>
      </x:c>
      <x:c r="G73" s="17" t="str">
        <x:v>Cartão de crédito</x:v>
      </x:c>
      <x:c r="H73" s="17" t="str">
        <x:v>2026-06-22 09:38:17</x:v>
      </x:c>
    </x:row>
    <x:row r="74" ht="15" hidden="0" customHeight="1">
      <x:c r="A74" s="17" t="n">
        <x:v>75</x:v>
      </x:c>
      <x:c r="B74" s="17" t="str">
        <x:v>OP-1281</x:v>
      </x:c>
      <x:c r="C74" s="17" t="str">
        <x:v>PAG-1237</x:v>
      </x:c>
      <x:c r="D74" s="21" t="n">
        <x:v>1273.98</x:v>
      </x:c>
      <x:c r="E74" s="17" t="str">
        <x:v>Pago</x:v>
      </x:c>
      <x:c r="F74" s="17" t="str">
        <x:v>Fernando Santos Rodrigues</x:v>
      </x:c>
      <x:c r="G74" s="17" t="str">
        <x:v>Cartão de crédito</x:v>
      </x:c>
      <x:c r="H74" s="17" t="str">
        <x:v>2026-06-22 09:37:58</x:v>
      </x:c>
    </x:row>
    <x:row r="75" ht="15" hidden="0" customHeight="1">
      <x:c r="A75" s="17" t="n">
        <x:v>76</x:v>
      </x:c>
      <x:c r="B75" s="17" t="str">
        <x:v>OP-1280</x:v>
      </x:c>
      <x:c r="C75" s="17" t="str">
        <x:v>PAG-1236</x:v>
      </x:c>
      <x:c r="D75" s="21" t="n">
        <x:v>1023.46</x:v>
      </x:c>
      <x:c r="E75" s="17" t="str">
        <x:v>Pendente</x:v>
      </x:c>
      <x:c r="F75" s="17" t="str">
        <x:v>Marcelle Rangel Barcelar</x:v>
      </x:c>
      <x:c r="G75" s="17" t="str">
        <x:v>Cartão de crédito</x:v>
      </x:c>
      <x:c r="H75" s="17" t="str">
        <x:v>2026-06-22 09:16:34</x:v>
      </x:c>
    </x:row>
    <x:row r="76" ht="15" hidden="0" customHeight="1">
      <x:c r="A76" s="17" t="n">
        <x:v>77</x:v>
      </x:c>
      <x:c r="B76" s="17" t="str">
        <x:v>OP-1279</x:v>
      </x:c>
      <x:c r="C76" s="17" t="str">
        <x:v>PAG-1235</x:v>
      </x:c>
      <x:c r="D76" s="21" t="n">
        <x:v>859.1</x:v>
      </x:c>
      <x:c r="E76" s="17" t="str">
        <x:v>Pago</x:v>
      </x:c>
      <x:c r="F76" s="17" t="str">
        <x:v>Raul Rene Valle Agostini</x:v>
      </x:c>
      <x:c r="G76" s="17" t="str">
        <x:v>Cartão de crédito</x:v>
      </x:c>
      <x:c r="H76" s="17" t="str">
        <x:v>2026-06-22 09:01:51</x:v>
      </x:c>
    </x:row>
    <x:row r="77" ht="15" hidden="0" customHeight="1">
      <x:c r="A77" s="17" t="n">
        <x:v>78</x:v>
      </x:c>
      <x:c r="B77" s="17" t="str">
        <x:v>OP-1278</x:v>
      </x:c>
      <x:c r="C77" s="17" t="str">
        <x:v>PAG-1234</x:v>
      </x:c>
      <x:c r="D77" s="21" t="n">
        <x:v>859.1</x:v>
      </x:c>
      <x:c r="E77" s="17" t="str">
        <x:v>Pago</x:v>
      </x:c>
      <x:c r="F77" s="17" t="str">
        <x:v>Frederico Marcelino</x:v>
      </x:c>
      <x:c r="G77" s="17" t="str">
        <x:v>Cartão de crédito</x:v>
      </x:c>
      <x:c r="H77" s="17" t="str">
        <x:v>2026-06-22 08:44:03</x:v>
      </x:c>
    </x:row>
    <x:row r="78" ht="15" hidden="0" customHeight="1">
      <x:c r="A78" s="17" t="n">
        <x:v>79</x:v>
      </x:c>
      <x:c r="B78" s="17" t="str">
        <x:v>OP-1277</x:v>
      </x:c>
      <x:c r="C78" s="17" t="str">
        <x:v>PAG-1233</x:v>
      </x:c>
      <x:c r="D78" s="21" t="n">
        <x:v>1050.72</x:v>
      </x:c>
      <x:c r="E78" s="17" t="str">
        <x:v>Pago</x:v>
      </x:c>
      <x:c r="F78" s="17" t="str">
        <x:v>Mateus Montemor</x:v>
      </x:c>
      <x:c r="G78" s="17" t="str">
        <x:v>Cartão de crédito</x:v>
      </x:c>
      <x:c r="H78" s="17" t="str">
        <x:v>2026-06-22 08:40:11</x:v>
      </x:c>
    </x:row>
    <x:row r="79" ht="15" hidden="0" customHeight="1">
      <x:c r="A79" s="17" t="n">
        <x:v>80</x:v>
      </x:c>
      <x:c r="B79" s="17" t="str">
        <x:v>OP-1276</x:v>
      </x:c>
      <x:c r="C79" s="17" t="str">
        <x:v>PAG-1232</x:v>
      </x:c>
      <x:c r="D79" s="21" t="n">
        <x:v>952.96</x:v>
      </x:c>
      <x:c r="E79" s="17" t="str">
        <x:v>Pago</x:v>
      </x:c>
      <x:c r="F79" s="17" t="str">
        <x:v>Marcelo Moreira</x:v>
      </x:c>
      <x:c r="G79" s="17" t="str">
        <x:v>Cartão de crédito</x:v>
      </x:c>
      <x:c r="H79" s="17" t="str">
        <x:v>2026-06-22 08:38:01</x:v>
      </x:c>
    </x:row>
    <x:row r="80" ht="15" hidden="0" customHeight="1">
      <x:c r="A80" s="17" t="n">
        <x:v>81</x:v>
      </x:c>
      <x:c r="B80" s="17" t="str">
        <x:v>OP-1275</x:v>
      </x:c>
      <x:c r="C80" s="17" t="str">
        <x:v>PAG-1231</x:v>
      </x:c>
      <x:c r="D80" s="21" t="n">
        <x:v>4135.53</x:v>
      </x:c>
      <x:c r="E80" s="17" t="str">
        <x:v>Pago</x:v>
      </x:c>
      <x:c r="F80" s="17" t="str">
        <x:v>Dashreen Kaur</x:v>
      </x:c>
      <x:c r="G80" s="17" t="str">
        <x:v>Cartão de crédito</x:v>
      </x:c>
      <x:c r="H80" s="17" t="str">
        <x:v>2026-06-19 15:18:40</x:v>
      </x:c>
    </x:row>
    <x:row r="81" ht="15" hidden="0" customHeight="1">
      <x:c r="A81" s="17" t="n">
        <x:v>82</x:v>
      </x:c>
      <x:c r="B81" s="17" t="str">
        <x:v>OP-1274</x:v>
      </x:c>
      <x:c r="C81" s="17" t="str">
        <x:v>PAG-1230</x:v>
      </x:c>
      <x:c r="D81" s="21" t="n">
        <x:v>1558.3</x:v>
      </x:c>
      <x:c r="E81" s="17" t="str">
        <x:v>Pago</x:v>
      </x:c>
      <x:c r="F81" s="17" t="str">
        <x:v>Alvaro Reis</x:v>
      </x:c>
      <x:c r="G81" s="17" t="str">
        <x:v>Cartão de crédito</x:v>
      </x:c>
      <x:c r="H81" s="17" t="str">
        <x:v>2026-06-19 14:51:27</x:v>
      </x:c>
    </x:row>
    <x:row r="82" ht="15" hidden="0" customHeight="1">
      <x:c r="A82" s="17" t="n">
        <x:v>83</x:v>
      </x:c>
      <x:c r="B82" s="17" t="str">
        <x:v>OP-1273</x:v>
      </x:c>
      <x:c r="C82" s="17" t="str">
        <x:v>PAG-1229</x:v>
      </x:c>
      <x:c r="D82" s="21" t="n">
        <x:v>962.65</x:v>
      </x:c>
      <x:c r="E82" s="17" t="str">
        <x:v>Pago</x:v>
      </x:c>
      <x:c r="F82" s="17" t="str">
        <x:v>Viviane Lemes Castro</x:v>
      </x:c>
      <x:c r="G82" s="17" t="str">
        <x:v>Cartão de crédito</x:v>
      </x:c>
      <x:c r="H82" s="17" t="str">
        <x:v>2026-06-19 14:35:51</x:v>
      </x:c>
    </x:row>
    <x:row r="83" ht="15" hidden="0" customHeight="1">
      <x:c r="A83" s="17" t="n">
        <x:v>84</x:v>
      </x:c>
      <x:c r="B83" s="17" t="str">
        <x:v>OP-1271</x:v>
      </x:c>
      <x:c r="C83" s="17" t="str">
        <x:v>PAG-1228</x:v>
      </x:c>
      <x:c r="D83" s="21" t="n">
        <x:v>952.96</x:v>
      </x:c>
      <x:c r="E83" s="17" t="str">
        <x:v>Pago</x:v>
      </x:c>
      <x:c r="F83" s="17" t="str">
        <x:v>Marcos Pereira</x:v>
      </x:c>
      <x:c r="G83" s="17" t="str">
        <x:v>Cartão de crédito</x:v>
      </x:c>
      <x:c r="H83" s="17" t="str">
        <x:v>2026-06-19 14:20:14</x:v>
      </x:c>
    </x:row>
    <x:row r="84" ht="15" hidden="0" customHeight="1">
      <x:c r="A84" s="17" t="n">
        <x:v>85</x:v>
      </x:c>
      <x:c r="B84" s="17" t="str">
        <x:v>OP-1269</x:v>
      </x:c>
      <x:c r="C84" s="17" t="str">
        <x:v>PAG-1227</x:v>
      </x:c>
      <x:c r="D84" s="21" t="n">
        <x:v>1050.72</x:v>
      </x:c>
      <x:c r="E84" s="17" t="str">
        <x:v>Pago</x:v>
      </x:c>
      <x:c r="F84" s="17" t="str">
        <x:v>Thais Ferrara</x:v>
      </x:c>
      <x:c r="G84" s="17" t="str">
        <x:v>Cartão de crédito</x:v>
      </x:c>
      <x:c r="H84" s="17" t="str">
        <x:v>2026-06-19 14:06:26</x:v>
      </x:c>
    </x:row>
    <x:row r="85" ht="15" hidden="0" customHeight="1">
      <x:c r="A85" s="17" t="n">
        <x:v>86</x:v>
      </x:c>
      <x:c r="B85" s="17" t="str">
        <x:v>OP-1268</x:v>
      </x:c>
      <x:c r="C85" s="17" t="str">
        <x:v>PAG-1226</x:v>
      </x:c>
      <x:c r="D85" s="21" t="n">
        <x:v>2441.11</x:v>
      </x:c>
      <x:c r="E85" s="17" t="str">
        <x:v>Pago</x:v>
      </x:c>
      <x:c r="F85" s="17" t="str">
        <x:v>Sr. Arunava Banerjee</x:v>
      </x:c>
      <x:c r="G85" s="17" t="str">
        <x:v>Cartão de crédito</x:v>
      </x:c>
      <x:c r="H85" s="17" t="str">
        <x:v>2026-06-19 13:55:42</x:v>
      </x:c>
    </x:row>
    <x:row r="86" ht="15" hidden="0" customHeight="1">
      <x:c r="A86" s="17" t="n">
        <x:v>87</x:v>
      </x:c>
      <x:c r="B86" s="17" t="str">
        <x:v>OP-1267</x:v>
      </x:c>
      <x:c r="C86" s="17" t="str">
        <x:v>PAG-1225</x:v>
      </x:c>
      <x:c r="D86" s="21" t="n">
        <x:v>1647.73</x:v>
      </x:c>
      <x:c r="E86" s="17" t="str">
        <x:v>Pago</x:v>
      </x:c>
      <x:c r="F86" s="17" t="str">
        <x:v>Max Baumgartner</x:v>
      </x:c>
      <x:c r="G86" s="17" t="str">
        <x:v>Cartão de crédito</x:v>
      </x:c>
      <x:c r="H86" s="17" t="str">
        <x:v>2026-06-19 13:43:43</x:v>
      </x:c>
    </x:row>
    <x:row r="87" ht="15" hidden="0" customHeight="1">
      <x:c r="A87" s="17" t="n">
        <x:v>88</x:v>
      </x:c>
      <x:c r="B87" s="17" t="str">
        <x:v>OP-1267</x:v>
      </x:c>
      <x:c r="C87" s="17" t="str">
        <x:v>PAG-1224</x:v>
      </x:c>
      <x:c r="D87" s="21" t="n">
        <x:v>1244.16</x:v>
      </x:c>
      <x:c r="E87" s="17" t="str">
        <x:v>Pago</x:v>
      </x:c>
      <x:c r="F87" s="17" t="str">
        <x:v>Taifa Nyiendo</x:v>
      </x:c>
      <x:c r="G87" s="17" t="str">
        <x:v>Cartão de crédito</x:v>
      </x:c>
      <x:c r="H87" s="17" t="str">
        <x:v>2026-06-19 13:43:42</x:v>
      </x:c>
    </x:row>
    <x:row r="88" ht="15" hidden="0" customHeight="1">
      <x:c r="A88" s="17" t="n">
        <x:v>89</x:v>
      </x:c>
      <x:c r="B88" s="17" t="str">
        <x:v>OP-1265</x:v>
      </x:c>
      <x:c r="C88" s="17" t="str">
        <x:v>PAG-1223</x:v>
      </x:c>
      <x:c r="D88" s="21" t="n">
        <x:v>2729.69</x:v>
      </x:c>
      <x:c r="E88" s="17" t="str">
        <x:v>Pago</x:v>
      </x:c>
      <x:c r="F88" s="17" t="str">
        <x:v>Waleska Albino Rodríguez</x:v>
      </x:c>
      <x:c r="G88" s="17" t="str">
        <x:v>Cartão de crédito</x:v>
      </x:c>
      <x:c r="H88" s="17" t="str">
        <x:v>2026-06-18 14:34:06</x:v>
      </x:c>
    </x:row>
    <x:row r="89" ht="15" hidden="0" customHeight="1">
      <x:c r="A89" s="17" t="n">
        <x:v>90</x:v>
      </x:c>
      <x:c r="B89" s="17" t="str">
        <x:v>OP-1264</x:v>
      </x:c>
      <x:c r="C89" s="17" t="str">
        <x:v>PAG-1222</x:v>
      </x:c>
      <x:c r="D89" s="21" t="n">
        <x:v>3978.36</x:v>
      </x:c>
      <x:c r="E89" s="17" t="str">
        <x:v>Pendente</x:v>
      </x:c>
      <x:c r="F89" s="17" t="str">
        <x:v>Étienne Lord</x:v>
      </x:c>
      <x:c r="G89" s="17" t="str">
        <x:v>Cartão de crédito</x:v>
      </x:c>
      <x:c r="H89" s="17" t="str">
        <x:v>2026-06-17 13:54:54</x:v>
      </x:c>
    </x:row>
    <x:row r="90" ht="15" hidden="0" customHeight="1">
      <x:c r="A90" s="17" t="n">
        <x:v>91</x:v>
      </x:c>
      <x:c r="B90" s="17" t="str">
        <x:v>OP-1263</x:v>
      </x:c>
      <x:c r="C90" s="17" t="str">
        <x:v>PAG-1221</x:v>
      </x:c>
      <x:c r="D90" s="21" t="n">
        <x:v>790</x:v>
      </x:c>
      <x:c r="E90" s="17" t="str">
        <x:v>Pago</x:v>
      </x:c>
      <x:c r="F90" s="17" t="str">
        <x:v>Júlia Cordeiro</x:v>
      </x:c>
      <x:c r="G90" s="17" t="str">
        <x:v>Cartão de crédito</x:v>
      </x:c>
      <x:c r="H90" s="17" t="str">
        <x:v>2026-06-16 16:52:05</x:v>
      </x:c>
    </x:row>
    <x:row r="91" ht="15" hidden="0" customHeight="1">
      <x:c r="A91" s="17" t="n">
        <x:v>92</x:v>
      </x:c>
      <x:c r="B91" s="17" t="str">
        <x:v>OP-1262</x:v>
      </x:c>
      <x:c r="C91" s="17" t="str">
        <x:v>PAG-1220</x:v>
      </x:c>
      <x:c r="D91" s="21" t="n">
        <x:v>2651.03</x:v>
      </x:c>
      <x:c r="E91" s="17" t="str">
        <x:v>Pago</x:v>
      </x:c>
      <x:c r="F91" s="17" t="str">
        <x:v>Larissa Chan</x:v>
      </x:c>
      <x:c r="G91" s="17" t="str">
        <x:v>Cartão de crédito</x:v>
      </x:c>
      <x:c r="H91" s="17" t="str">
        <x:v>2026-06-16 16:26:41</x:v>
      </x:c>
    </x:row>
    <x:row r="92" ht="15" hidden="0" customHeight="1">
      <x:c r="A92" s="17" t="n">
        <x:v>93</x:v>
      </x:c>
      <x:c r="B92" s="17" t="str">
        <x:v>OP-1259</x:v>
      </x:c>
      <x:c r="C92" s="17" t="str">
        <x:v>PAG-1216</x:v>
      </x:c>
      <x:c r="D92" s="21" t="n">
        <x:v>859.1</x:v>
      </x:c>
      <x:c r="E92" s="17" t="str">
        <x:v>Pago</x:v>
      </x:c>
      <x:c r="F92" s="17" t="str">
        <x:v>Ronaldo Rogeri</x:v>
      </x:c>
      <x:c r="G92" s="17" t="str">
        <x:v>Cartão de crédito</x:v>
      </x:c>
      <x:c r="H92" s="17" t="str">
        <x:v>2026-06-16 09:36:00</x:v>
      </x:c>
    </x:row>
    <x:row r="93" ht="15" hidden="0" customHeight="1">
      <x:c r="A93" s="17" t="n">
        <x:v>94</x:v>
      </x:c>
      <x:c r="B93" s="17" t="str">
        <x:v>OP-1257</x:v>
      </x:c>
      <x:c r="C93" s="17" t="str">
        <x:v>PAG-1215</x:v>
      </x:c>
      <x:c r="D93" s="21" t="n">
        <x:v>2083.43</x:v>
      </x:c>
      <x:c r="E93" s="17" t="str">
        <x:v>Pago</x:v>
      </x:c>
      <x:c r="F93" s="17" t="str">
        <x:v>Giuliana Pessoa</x:v>
      </x:c>
      <x:c r="G93" s="17" t="str">
        <x:v>Cartão de crédito</x:v>
      </x:c>
      <x:c r="H93" s="17" t="str">
        <x:v>2026-06-15 16:12:10</x:v>
      </x:c>
    </x:row>
    <x:row r="94" ht="15" hidden="0" customHeight="1">
      <x:c r="A94" s="17" t="n">
        <x:v>95</x:v>
      </x:c>
      <x:c r="B94" s="17" t="str">
        <x:v>OP-1254</x:v>
      </x:c>
      <x:c r="C94" s="17" t="str">
        <x:v>PAG-1214</x:v>
      </x:c>
      <x:c r="D94" s="21" t="n">
        <x:v>396.05</x:v>
      </x:c>
      <x:c r="E94" s="17" t="str">
        <x:v>Pago</x:v>
      </x:c>
      <x:c r="F94" s="17" t="str">
        <x:v>Carla Novais</x:v>
      </x:c>
      <x:c r="G94" s="17" t="str">
        <x:v>Cartão de crédito</x:v>
      </x:c>
      <x:c r="H94" s="17" t="str">
        <x:v>2026-06-15 14:37:33</x:v>
      </x:c>
    </x:row>
    <x:row r="95" ht="15" hidden="0" customHeight="1">
      <x:c r="A95" s="17" t="n">
        <x:v>96</x:v>
      </x:c>
      <x:c r="B95" s="17" t="str">
        <x:v>OP-1251</x:v>
      </x:c>
      <x:c r="C95" s="17" t="str">
        <x:v>PAG-1213</x:v>
      </x:c>
      <x:c r="D95" s="21" t="n">
        <x:v>1050.72</x:v>
      </x:c>
      <x:c r="E95" s="17" t="str">
        <x:v>Pago</x:v>
      </x:c>
      <x:c r="F95" s="17" t="str">
        <x:v>Marcos Vinicius dos Santos</x:v>
      </x:c>
      <x:c r="G95" s="17" t="str">
        <x:v>Cartão de crédito</x:v>
      </x:c>
      <x:c r="H95" s="17" t="str">
        <x:v>2026-06-15 08:54:41</x:v>
      </x:c>
    </x:row>
    <x:row r="96" ht="15" hidden="0" customHeight="1">
      <x:c r="A96" s="17" t="n">
        <x:v>97</x:v>
      </x:c>
      <x:c r="B96" s="17" t="str">
        <x:v>OP-1247</x:v>
      </x:c>
      <x:c r="C96" s="17" t="str">
        <x:v>PAG-1212</x:v>
      </x:c>
      <x:c r="D96" s="21" t="n">
        <x:v>859.1</x:v>
      </x:c>
      <x:c r="E96" s="17" t="str">
        <x:v>Pendente</x:v>
      </x:c>
      <x:c r="F96" s="17" t="str">
        <x:v>Rodrigo Ventura</x:v>
      </x:c>
      <x:c r="G96" s="17" t="str">
        <x:v>Cartão de crédito</x:v>
      </x:c>
      <x:c r="H96" s="17" t="str">
        <x:v>2026-06-15 08:52:08</x:v>
      </x:c>
    </x:row>
    <x:row r="97" ht="15" hidden="0" customHeight="1">
      <x:c r="A97" s="17" t="n">
        <x:v>98</x:v>
      </x:c>
      <x:c r="B97" s="17" t="str">
        <x:v>OP-1248</x:v>
      </x:c>
      <x:c r="C97" s="17" t="str">
        <x:v>PAG-1211</x:v>
      </x:c>
      <x:c r="D97" s="21" t="n">
        <x:v>859.1</x:v>
      </x:c>
      <x:c r="E97" s="17" t="str">
        <x:v>Pago</x:v>
      </x:c>
      <x:c r="F97" s="17" t="str">
        <x:v>Alvaro Reis</x:v>
      </x:c>
      <x:c r="G97" s="17" t="str">
        <x:v>Cartão de crédito</x:v>
      </x:c>
      <x:c r="H97" s="17" t="str">
        <x:v>2026-06-15 08:51:48</x:v>
      </x:c>
    </x:row>
    <x:row r="98" ht="15" hidden="0" customHeight="1">
      <x:c r="A98" s="17" t="n">
        <x:v>99</x:v>
      </x:c>
      <x:c r="B98" s="17" t="str">
        <x:v>OP-1249</x:v>
      </x:c>
      <x:c r="C98" s="17" t="str">
        <x:v>PAG-1210</x:v>
      </x:c>
      <x:c r="D98" s="21" t="n">
        <x:v>859.1</x:v>
      </x:c>
      <x:c r="E98" s="17" t="str">
        <x:v>Pago</x:v>
      </x:c>
      <x:c r="F98" s="17" t="str">
        <x:v>Raphael Lima Moura</x:v>
      </x:c>
      <x:c r="G98" s="17" t="str">
        <x:v>Cartão de crédito</x:v>
      </x:c>
      <x:c r="H98" s="17" t="str">
        <x:v>2026-06-15 08:50:41</x:v>
      </x:c>
    </x:row>
    <x:row r="99" ht="15" hidden="0" customHeight="1">
      <x:c r="A99" s="17" t="n">
        <x:v>100</x:v>
      </x:c>
      <x:c r="B99" s="17" t="str">
        <x:v>OP-1250</x:v>
      </x:c>
      <x:c r="C99" s="17" t="str">
        <x:v>PAG-1209</x:v>
      </x:c>
      <x:c r="D99" s="21" t="n">
        <x:v>859.1</x:v>
      </x:c>
      <x:c r="E99" s="17" t="str">
        <x:v>Pago</x:v>
      </x:c>
      <x:c r="F99" s="17" t="str">
        <x:v>Marcelo de Melo Faria</x:v>
      </x:c>
      <x:c r="G99" s="17" t="str">
        <x:v>Cartão de crédito</x:v>
      </x:c>
      <x:c r="H99" s="17" t="str">
        <x:v>2026-06-15 08:45:00</x:v>
      </x:c>
    </x:row>
    <x:row r="100" ht="15" hidden="0" customHeight="1">
      <x:c r="A100" s="17" t="n">
        <x:v>101</x:v>
      </x:c>
      <x:c r="B100" s="17" t="str">
        <x:v>OP-1245</x:v>
      </x:c>
      <x:c r="C100" s="17" t="str">
        <x:v>PAG-1208</x:v>
      </x:c>
      <x:c r="D100" s="21" t="n">
        <x:v>952.96</x:v>
      </x:c>
      <x:c r="E100" s="17" t="str">
        <x:v>Pago</x:v>
      </x:c>
      <x:c r="F100" s="17" t="str">
        <x:v>Maíra Marion Martins</x:v>
      </x:c>
      <x:c r="G100" s="17" t="str">
        <x:v>Cartão de crédito</x:v>
      </x:c>
      <x:c r="H100" s="17" t="str">
        <x:v>2026-06-12 11:01:35</x:v>
      </x:c>
    </x:row>
    <x:row r="101" ht="15" hidden="0" customHeight="1">
      <x:c r="A101" s="17" t="n">
        <x:v>102</x:v>
      </x:c>
      <x:c r="B101" s="17" t="str">
        <x:v>OP-1244</x:v>
      </x:c>
      <x:c r="C101" s="17" t="str">
        <x:v>PAG-1207</x:v>
      </x:c>
      <x:c r="D101" s="21" t="n">
        <x:v>4210.08</x:v>
      </x:c>
      <x:c r="E101" s="17" t="str">
        <x:v>Pago</x:v>
      </x:c>
      <x:c r="F101" s="17" t="str">
        <x:v>Carlene Comrie</x:v>
      </x:c>
      <x:c r="G101" s="17" t="str">
        <x:v>Cartão de crédito</x:v>
      </x:c>
      <x:c r="H101" s="17" t="str">
        <x:v>2026-06-12 09:10:44</x:v>
      </x:c>
    </x:row>
    <x:row r="102" ht="15" hidden="0" customHeight="1">
      <x:c r="A102" s="17" t="n">
        <x:v>103</x:v>
      </x:c>
      <x:c r="B102" s="17" t="str">
        <x:v>OP-1243</x:v>
      </x:c>
      <x:c r="C102" s="17" t="str">
        <x:v>PAG-1206</x:v>
      </x:c>
      <x:c r="D102" s="21" t="n">
        <x:v>1380</x:v>
      </x:c>
      <x:c r="E102" s="17" t="str">
        <x:v>Pago</x:v>
      </x:c>
      <x:c r="F102" s="17" t="str">
        <x:v>Bala</x:v>
      </x:c>
      <x:c r="G102" s="17" t="str">
        <x:v>Cartão de crédito</x:v>
      </x:c>
      <x:c r="H102" s="17" t="str">
        <x:v>2026-06-12 09:05:11</x:v>
      </x:c>
    </x:row>
    <x:row r="103" ht="15" hidden="0" customHeight="1">
      <x:c r="A103" s="17" t="n">
        <x:v>104</x:v>
      </x:c>
      <x:c r="B103" s="17" t="str">
        <x:v>OP-1223</x:v>
      </x:c>
      <x:c r="C103" s="17" t="str">
        <x:v>PAG-1205</x:v>
      </x:c>
      <x:c r="D103" s="21" t="n">
        <x:v>1307.98</x:v>
      </x:c>
      <x:c r="E103" s="17" t="str">
        <x:v>Pago</x:v>
      </x:c>
      <x:c r="F103" s="17" t="str">
        <x:v>Sowmya Mandanapu</x:v>
      </x:c>
      <x:c r="G103" s="17" t="str">
        <x:v>Cartão de crédito</x:v>
      </x:c>
      <x:c r="H103" s="17" t="str">
        <x:v>2026-06-11 17:26:09</x:v>
      </x:c>
    </x:row>
    <x:row r="104" ht="15" hidden="0" customHeight="1">
      <x:c r="A104" s="17" t="n">
        <x:v>105</x:v>
      </x:c>
      <x:c r="B104" s="17" t="str">
        <x:v>OP-1225</x:v>
      </x:c>
      <x:c r="C104" s="17" t="str">
        <x:v>PAG-1204</x:v>
      </x:c>
      <x:c r="D104" s="21" t="n">
        <x:v>279.16</x:v>
      </x:c>
      <x:c r="E104" s="17" t="str">
        <x:v>Pago</x:v>
      </x:c>
      <x:c r="F104" s="17" t="str">
        <x:v>Joyce Martins</x:v>
      </x:c>
      <x:c r="G104" s="17" t="str">
        <x:v>Cartão de crédito</x:v>
      </x:c>
      <x:c r="H104" s="17" t="str">
        <x:v>2026-06-11 14:34:23</x:v>
      </x:c>
    </x:row>
    <x:row r="105" ht="15" hidden="0" customHeight="1">
      <x:c r="A105" s="17" t="n">
        <x:v>106</x:v>
      </x:c>
      <x:c r="B105" s="17" t="str">
        <x:v>OP-1236</x:v>
      </x:c>
      <x:c r="C105" s="17" t="str">
        <x:v>PAG-1203</x:v>
      </x:c>
      <x:c r="D105" s="21" t="n">
        <x:v>465</x:v>
      </x:c>
      <x:c r="E105" s="17" t="str">
        <x:v>Pago</x:v>
      </x:c>
      <x:c r="F105" s="17" t="str">
        <x:v>Innes Mullen</x:v>
      </x:c>
      <x:c r="G105" s="17" t="str">
        <x:v>Cartão de crédito</x:v>
      </x:c>
      <x:c r="H105" s="17" t="str">
        <x:v>2026-06-11 13:30:09</x:v>
      </x:c>
    </x:row>
    <x:row r="106" ht="15" hidden="0" customHeight="1">
      <x:c r="A106" s="17" t="n">
        <x:v>107</x:v>
      </x:c>
      <x:c r="B106" s="17" t="str">
        <x:v>OP-1237</x:v>
      </x:c>
      <x:c r="C106" s="17" t="str">
        <x:v>PAG-1202</x:v>
      </x:c>
      <x:c r="D106" s="21" t="n">
        <x:v>465</x:v>
      </x:c>
      <x:c r="E106" s="17" t="str">
        <x:v>Pago</x:v>
      </x:c>
      <x:c r="F106" s="17" t="str">
        <x:v>Innes Mullen</x:v>
      </x:c>
      <x:c r="G106" s="17" t="str">
        <x:v>Cartão de crédito</x:v>
      </x:c>
      <x:c r="H106" s="17" t="str">
        <x:v>2026-06-11 13:29:54</x:v>
      </x:c>
    </x:row>
    <x:row r="107" ht="15" hidden="0" customHeight="1">
      <x:c r="A107" s="17" t="n">
        <x:v>108</x:v>
      </x:c>
      <x:c r="B107" s="17" t="str">
        <x:v>OP-1238</x:v>
      </x:c>
      <x:c r="C107" s="17" t="str">
        <x:v>PAG-1201</x:v>
      </x:c>
      <x:c r="D107" s="21" t="n">
        <x:v>465</x:v>
      </x:c>
      <x:c r="E107" s="17" t="str">
        <x:v>Pago</x:v>
      </x:c>
      <x:c r="F107" s="17" t="str">
        <x:v>Innes Mullen</x:v>
      </x:c>
      <x:c r="G107" s="17" t="str">
        <x:v>Cartão de crédito</x:v>
      </x:c>
      <x:c r="H107" s="17" t="str">
        <x:v>2026-06-11 13:29:40</x:v>
      </x:c>
    </x:row>
    <x:row r="108" ht="15" hidden="0" customHeight="1">
      <x:c r="A108" s="17" t="n">
        <x:v>109</x:v>
      </x:c>
      <x:c r="B108" s="17" t="str">
        <x:v>OP-1239</x:v>
      </x:c>
      <x:c r="C108" s="17" t="str">
        <x:v>PAG-1200</x:v>
      </x:c>
      <x:c r="D108" s="21" t="n">
        <x:v>465</x:v>
      </x:c>
      <x:c r="E108" s="17" t="str">
        <x:v>Pago</x:v>
      </x:c>
      <x:c r="F108" s="17" t="str">
        <x:v>Innes Mullen</x:v>
      </x:c>
      <x:c r="G108" s="17" t="str">
        <x:v>Cartão de crédito</x:v>
      </x:c>
      <x:c r="H108" s="17" t="str">
        <x:v>2026-06-11 13:29:23</x:v>
      </x:c>
    </x:row>
    <x:row r="109" ht="15" hidden="0" customHeight="1">
      <x:c r="A109" s="17" t="n">
        <x:v>110</x:v>
      </x:c>
      <x:c r="B109" s="17" t="str">
        <x:v>OP-1234</x:v>
      </x:c>
      <x:c r="C109" s="17" t="str">
        <x:v>PAG-1199</x:v>
      </x:c>
      <x:c r="D109" s="21" t="n">
        <x:v>632.79</x:v>
      </x:c>
      <x:c r="E109" s="17" t="str">
        <x:v>Pago</x:v>
      </x:c>
      <x:c r="F109" s="17" t="str">
        <x:v>Monalisa de Cassia Guimaraes Varao</x:v>
      </x:c>
      <x:c r="G109" s="17" t="str">
        <x:v>Cartão de crédito</x:v>
      </x:c>
      <x:c r="H109" s="17" t="str">
        <x:v>2026-06-11 11:07:30</x:v>
      </x:c>
    </x:row>
    <x:row r="110" ht="15" hidden="0" customHeight="1">
      <x:c r="A110" s="17" t="n">
        <x:v>111</x:v>
      </x:c>
      <x:c r="B110" s="17" t="str">
        <x:v>OP-1234</x:v>
      </x:c>
      <x:c r="C110" s="17" t="str">
        <x:v>PAG-1198</x:v>
      </x:c>
      <x:c r="D110" s="21" t="n">
        <x:v>632.79</x:v>
      </x:c>
      <x:c r="E110" s="17" t="str">
        <x:v>Pago</x:v>
      </x:c>
      <x:c r="F110" s="17" t="str">
        <x:v>Marcelo Rodolfo De Assis</x:v>
      </x:c>
      <x:c r="G110" s="17" t="str">
        <x:v>Cartão de crédito</x:v>
      </x:c>
      <x:c r="H110" s="17" t="str">
        <x:v>2026-06-11 11:07:26</x:v>
      </x:c>
    </x:row>
    <x:row r="111" ht="15" hidden="0" customHeight="1">
      <x:c r="A111" s="17" t="n">
        <x:v>112</x:v>
      </x:c>
      <x:c r="B111" s="17" t="str">
        <x:v>OP-1234</x:v>
      </x:c>
      <x:c r="C111" s="17" t="str">
        <x:v>PAG-1197</x:v>
      </x:c>
      <x:c r="D111" s="21" t="n">
        <x:v>632.79</x:v>
      </x:c>
      <x:c r="E111" s="17" t="str">
        <x:v>Pago</x:v>
      </x:c>
      <x:c r="F111" s="17" t="str">
        <x:v>Luis Tibana</x:v>
      </x:c>
      <x:c r="G111" s="17" t="str">
        <x:v>Cartão de crédito</x:v>
      </x:c>
      <x:c r="H111" s="17" t="str">
        <x:v>2026-06-11 11:07:20</x:v>
      </x:c>
    </x:row>
    <x:row r="112" ht="15" hidden="0" customHeight="1">
      <x:c r="A112" s="17" t="n">
        <x:v>113</x:v>
      </x:c>
      <x:c r="B112" s="17" t="str">
        <x:v>OP-1234</x:v>
      </x:c>
      <x:c r="C112" s="17" t="str">
        <x:v>PAG-1196</x:v>
      </x:c>
      <x:c r="D112" s="21" t="n">
        <x:v>632.79</x:v>
      </x:c>
      <x:c r="E112" s="17" t="str">
        <x:v>Pago</x:v>
      </x:c>
      <x:c r="F112" s="17" t="str">
        <x:v>Eduardo Augusto Chaves Junqueira</x:v>
      </x:c>
      <x:c r="G112" s="17" t="str">
        <x:v>Cartão de crédito</x:v>
      </x:c>
      <x:c r="H112" s="17" t="str">
        <x:v>2026-06-11 11:07:14</x:v>
      </x:c>
    </x:row>
    <x:row r="113" ht="15" hidden="0" customHeight="1">
      <x:c r="A113" s="17" t="n">
        <x:v>114</x:v>
      </x:c>
      <x:c r="B113" s="17" t="str">
        <x:v>OP-1233</x:v>
      </x:c>
      <x:c r="C113" s="17" t="str">
        <x:v>PAG-1195</x:v>
      </x:c>
      <x:c r="D113" s="21" t="n">
        <x:v>952.96</x:v>
      </x:c>
      <x:c r="E113" s="17" t="str">
        <x:v>Pago</x:v>
      </x:c>
      <x:c r="F113" s="17" t="str">
        <x:v>Luciano de Paula</x:v>
      </x:c>
      <x:c r="G113" s="17" t="str">
        <x:v>Cartão de crédito</x:v>
      </x:c>
      <x:c r="H113" s="17" t="str">
        <x:v>2026-06-11 10:27:46</x:v>
      </x:c>
    </x:row>
    <x:row r="114" ht="15" hidden="0" customHeight="1">
      <x:c r="A114" s="17" t="n">
        <x:v>115</x:v>
      </x:c>
      <x:c r="B114" s="17" t="str">
        <x:v>OP-1231</x:v>
      </x:c>
      <x:c r="C114" s="17" t="str">
        <x:v>PAG-1194</x:v>
      </x:c>
      <x:c r="D114" s="21" t="n">
        <x:v>1204.29</x:v>
      </x:c>
      <x:c r="E114" s="17" t="str">
        <x:v>Pago</x:v>
      </x:c>
      <x:c r="F114" s="17" t="str">
        <x:v>Gustavo Militão</x:v>
      </x:c>
      <x:c r="G114" s="17" t="str">
        <x:v>Cartão de crédito</x:v>
      </x:c>
      <x:c r="H114" s="17" t="str">
        <x:v>2026-06-11 10:17:36</x:v>
      </x:c>
    </x:row>
    <x:row r="115" ht="15" hidden="0" customHeight="1">
      <x:c r="A115" s="17" t="n">
        <x:v>116</x:v>
      </x:c>
      <x:c r="B115" s="17" t="str">
        <x:v>OP-1230</x:v>
      </x:c>
      <x:c r="C115" s="17" t="str">
        <x:v>PAG-1193</x:v>
      </x:c>
      <x:c r="D115" s="21" t="n">
        <x:v>1109.29</x:v>
      </x:c>
      <x:c r="E115" s="17" t="str">
        <x:v>Pago</x:v>
      </x:c>
      <x:c r="F115" s="17" t="str">
        <x:v>Aline Galdieri</x:v>
      </x:c>
      <x:c r="G115" s="17" t="str">
        <x:v>Cartão de crédito</x:v>
      </x:c>
      <x:c r="H115" s="17" t="str">
        <x:v>2026-06-11 10:10:19</x:v>
      </x:c>
    </x:row>
    <x:row r="116" ht="15" hidden="0" customHeight="1">
      <x:c r="A116" s="17" t="n">
        <x:v>117</x:v>
      </x:c>
      <x:c r="B116" s="17" t="str">
        <x:v>OP-1229</x:v>
      </x:c>
      <x:c r="C116" s="17" t="str">
        <x:v>PAG-1192</x:v>
      </x:c>
      <x:c r="D116" s="21" t="n">
        <x:v>1888.86</x:v>
      </x:c>
      <x:c r="E116" s="17" t="str">
        <x:v>Pago</x:v>
      </x:c>
      <x:c r="F116" s="17" t="str">
        <x:v>Pamela Siqueira</x:v>
      </x:c>
      <x:c r="G116" s="17" t="str">
        <x:v>Cartão de crédito</x:v>
      </x:c>
      <x:c r="H116" s="17" t="str">
        <x:v>2026-06-11 09:45:29</x:v>
      </x:c>
    </x:row>
    <x:row r="117" ht="15" hidden="0" customHeight="1">
      <x:c r="A117" s="17" t="n">
        <x:v>118</x:v>
      </x:c>
      <x:c r="B117" s="17" t="str">
        <x:v>OP-1228</x:v>
      </x:c>
      <x:c r="C117" s="17" t="str">
        <x:v>PAG-1191</x:v>
      </x:c>
      <x:c r="D117" s="21" t="n">
        <x:v>952.96</x:v>
      </x:c>
      <x:c r="E117" s="17" t="str">
        <x:v>Pago</x:v>
      </x:c>
      <x:c r="F117" s="17" t="str">
        <x:v>Lucas G. Pizzato</x:v>
      </x:c>
      <x:c r="G117" s="17" t="str">
        <x:v>Cartão de crédito</x:v>
      </x:c>
      <x:c r="H117" s="17" t="str">
        <x:v>2026-06-11 09:41:36</x:v>
      </x:c>
    </x:row>
    <x:row r="118" ht="15" hidden="0" customHeight="1">
      <x:c r="A118" s="17" t="n">
        <x:v>119</x:v>
      </x:c>
      <x:c r="B118" s="17" t="str">
        <x:v>OP-1226</x:v>
      </x:c>
      <x:c r="C118" s="17" t="str">
        <x:v>PAG-1190</x:v>
      </x:c>
      <x:c r="D118" s="21" t="n">
        <x:v>1109.29</x:v>
      </x:c>
      <x:c r="E118" s="17" t="str">
        <x:v>Pago</x:v>
      </x:c>
      <x:c r="F118" s="17" t="str">
        <x:v>Rafaelle Silva</x:v>
      </x:c>
      <x:c r="G118" s="17" t="str">
        <x:v>Cartão de crédito</x:v>
      </x:c>
      <x:c r="H118" s="17" t="str">
        <x:v>2026-06-11 09:17:02</x:v>
      </x:c>
    </x:row>
    <x:row r="119" ht="15" hidden="0" customHeight="1">
      <x:c r="A119" s="17" t="n">
        <x:v>120</x:v>
      </x:c>
      <x:c r="B119" s="17" t="str">
        <x:v>OP-1224</x:v>
      </x:c>
      <x:c r="C119" s="17" t="str">
        <x:v>PAG-1189</x:v>
      </x:c>
      <x:c r="D119" s="21" t="n">
        <x:v>859.1</x:v>
      </x:c>
      <x:c r="E119" s="17" t="str">
        <x:v>Pago</x:v>
      </x:c>
      <x:c r="F119" s="17" t="str">
        <x:v>Alfredo Senda</x:v>
      </x:c>
      <x:c r="G119" s="17" t="str">
        <x:v>Cartão de crédito</x:v>
      </x:c>
      <x:c r="H119" s="17" t="str">
        <x:v>2026-06-10 16:45:47</x:v>
      </x:c>
    </x:row>
    <x:row r="120" ht="15" hidden="0" customHeight="1">
      <x:c r="A120" s="17" t="n">
        <x:v>121</x:v>
      </x:c>
      <x:c r="B120" s="17" t="str">
        <x:v>OP-1222</x:v>
      </x:c>
      <x:c r="C120" s="17" t="str">
        <x:v>PAG-1187</x:v>
      </x:c>
      <x:c r="D120" s="21" t="n">
        <x:v>1817.88</x:v>
      </x:c>
      <x:c r="E120" s="17" t="str">
        <x:v>Pago</x:v>
      </x:c>
      <x:c r="F120" s="17" t="str">
        <x:v>Chengliang Chad</x:v>
      </x:c>
      <x:c r="G120" s="17" t="str">
        <x:v>Cartão de crédito</x:v>
      </x:c>
      <x:c r="H120" s="17" t="str">
        <x:v>2026-06-10 16:04:20</x:v>
      </x:c>
    </x:row>
    <x:row r="121" ht="15" hidden="0" customHeight="1">
      <x:c r="A121" s="17" t="n">
        <x:v>122</x:v>
      </x:c>
      <x:c r="B121" s="17" t="str">
        <x:v>OP-1208</x:v>
      </x:c>
      <x:c r="C121" s="17" t="str">
        <x:v>PAG-1186</x:v>
      </x:c>
      <x:c r="D121" s="21" t="n">
        <x:v>579.55</x:v>
      </x:c>
      <x:c r="E121" s="17" t="str">
        <x:v>Pago</x:v>
      </x:c>
      <x:c r="F121" s="17" t="str">
        <x:v>Lucas Alves Salles</x:v>
      </x:c>
      <x:c r="G121" s="17" t="str">
        <x:v>Cartão de crédito</x:v>
      </x:c>
      <x:c r="H121" s="17" t="str">
        <x:v>2026-06-10 10:12:09</x:v>
      </x:c>
    </x:row>
    <x:row r="122" ht="15" hidden="0" customHeight="1">
      <x:c r="A122" s="17" t="n">
        <x:v>123</x:v>
      </x:c>
      <x:c r="B122" s="17" t="str">
        <x:v>OP-1208</x:v>
      </x:c>
      <x:c r="C122" s="17" t="str">
        <x:v>PAG-1185</x:v>
      </x:c>
      <x:c r="D122" s="21" t="n">
        <x:v>579.55</x:v>
      </x:c>
      <x:c r="E122" s="17" t="str">
        <x:v>Cancelado</x:v>
      </x:c>
      <x:c r="F122" s="17" t="str">
        <x:v>Andrei Testi</x:v>
      </x:c>
      <x:c r="G122" s="17" t="str">
        <x:v>Cartão de crédito</x:v>
      </x:c>
      <x:c r="H122" s="17" t="str">
        <x:v>2026-06-10 10:12:03</x:v>
      </x:c>
    </x:row>
    <x:row r="123" ht="15" hidden="0" customHeight="1">
      <x:c r="A123" s="17" t="n">
        <x:v>124</x:v>
      </x:c>
      <x:c r="B123" s="17" t="str">
        <x:v>OP-1175</x:v>
      </x:c>
      <x:c r="C123" s="17" t="str">
        <x:v>PAG-1184</x:v>
      </x:c>
      <x:c r="D123" s="21" t="n">
        <x:v>396.05</x:v>
      </x:c>
      <x:c r="E123" s="17" t="str">
        <x:v>Pago</x:v>
      </x:c>
      <x:c r="F123" s="17" t="str">
        <x:v>Carla Daiana Oliveira</x:v>
      </x:c>
      <x:c r="G123" s="17" t="str">
        <x:v>Cartão de crédito</x:v>
      </x:c>
      <x:c r="H123" s="17" t="str">
        <x:v>2026-06-10 09:50:57</x:v>
      </x:c>
    </x:row>
    <x:row r="124" ht="15" hidden="0" customHeight="1">
      <x:c r="A124" s="17" t="n">
        <x:v>125</x:v>
      </x:c>
      <x:c r="B124" s="17" t="str">
        <x:v>OP-1220</x:v>
      </x:c>
      <x:c r="C124" s="17" t="str">
        <x:v>PAG-1183</x:v>
      </x:c>
      <x:c r="D124" s="21" t="n">
        <x:v>1519.12</x:v>
      </x:c>
      <x:c r="E124" s="17" t="str">
        <x:v>Pago</x:v>
      </x:c>
      <x:c r="F124" s="17" t="str">
        <x:v>Mariana de Souza Bittencourt de Carvalho </x:v>
      </x:c>
      <x:c r="G124" s="17" t="str">
        <x:v>Cartão de crédito</x:v>
      </x:c>
      <x:c r="H124" s="17" t="str">
        <x:v>2026-06-10 09:29:12</x:v>
      </x:c>
    </x:row>
    <x:row r="125" ht="15" hidden="0" customHeight="1">
      <x:c r="A125" s="17" t="n">
        <x:v>126</x:v>
      </x:c>
      <x:c r="B125" s="17" t="str">
        <x:v>OP-1218</x:v>
      </x:c>
      <x:c r="C125" s="17" t="str">
        <x:v>PAG-1180</x:v>
      </x:c>
      <x:c r="D125" s="21" t="n">
        <x:v>435.99</x:v>
      </x:c>
      <x:c r="E125" s="17" t="str">
        <x:v>Pago</x:v>
      </x:c>
      <x:c r="F125" s="17" t="str">
        <x:v>Ashley Crandall</x:v>
      </x:c>
      <x:c r="G125" s="17" t="str">
        <x:v>Cartão de crédito</x:v>
      </x:c>
      <x:c r="H125" s="17" t="str">
        <x:v>2026-06-10 08:33:53</x:v>
      </x:c>
    </x:row>
    <x:row r="126" ht="15" hidden="0" customHeight="1">
      <x:c r="A126" s="17" t="n">
        <x:v>127</x:v>
      </x:c>
      <x:c r="B126" s="17" t="str">
        <x:v>OP-1218</x:v>
      </x:c>
      <x:c r="C126" s="17" t="str">
        <x:v>PAG-1181</x:v>
      </x:c>
      <x:c r="D126" s="21" t="n">
        <x:v>435.99</x:v>
      </x:c>
      <x:c r="E126" s="17" t="str">
        <x:v>Pago</x:v>
      </x:c>
      <x:c r="F126" s="17" t="str">
        <x:v>Amy Demunno</x:v>
      </x:c>
      <x:c r="G126" s="17" t="str">
        <x:v>Cartão de crédito</x:v>
      </x:c>
      <x:c r="H126" s="17" t="str">
        <x:v>2026-06-10 08:33:53</x:v>
      </x:c>
    </x:row>
    <x:row r="127" ht="15" hidden="0" customHeight="1">
      <x:c r="A127" s="17" t="n">
        <x:v>128</x:v>
      </x:c>
      <x:c r="B127" s="17" t="str">
        <x:v>OP-1218</x:v>
      </x:c>
      <x:c r="C127" s="17" t="str">
        <x:v>PAG-1182</x:v>
      </x:c>
      <x:c r="D127" s="21" t="n">
        <x:v>435.99</x:v>
      </x:c>
      <x:c r="E127" s="17" t="str">
        <x:v>Pago</x:v>
      </x:c>
      <x:c r="F127" s="17" t="str">
        <x:v>Patrick O’doyle</x:v>
      </x:c>
      <x:c r="G127" s="17" t="str">
        <x:v>Cartão de crédito</x:v>
      </x:c>
      <x:c r="H127" s="17" t="str">
        <x:v>2026-06-10 08:33:53</x:v>
      </x:c>
    </x:row>
    <x:row r="128" ht="15" hidden="0" customHeight="1">
      <x:c r="A128" s="17" t="n">
        <x:v>130</x:v>
      </x:c>
      <x:c r="B128" s="17" t="str">
        <x:v>OP-1214</x:v>
      </x:c>
      <x:c r="C128" s="17" t="str">
        <x:v>PAG-1178</x:v>
      </x:c>
      <x:c r="D128" s="21" t="n">
        <x:v>615.33</x:v>
      </x:c>
      <x:c r="E128" s="17" t="str">
        <x:v>Pago</x:v>
      </x:c>
      <x:c r="F128" s="17" t="str">
        <x:v>Allan McAllister</x:v>
      </x:c>
      <x:c r="G128" s="17" t="str">
        <x:v>Cartão de crédito</x:v>
      </x:c>
      <x:c r="H128" s="17" t="str">
        <x:v>2026-06-08 11:31:04</x:v>
      </x:c>
    </x:row>
    <x:row r="129" ht="15" hidden="0" customHeight="1">
      <x:c r="A129" s="17" t="n">
        <x:v>131</x:v>
      </x:c>
      <x:c r="B129" s="17" t="str">
        <x:v>OP-1071</x:v>
      </x:c>
      <x:c r="C129" s="17" t="str">
        <x:v>PAG-1177</x:v>
      </x:c>
      <x:c r="D129" s="21" t="n">
        <x:v>615.33</x:v>
      </x:c>
      <x:c r="E129" s="17" t="str">
        <x:v>Pago</x:v>
      </x:c>
      <x:c r="F129" s="17" t="str">
        <x:v>Allan McAllister</x:v>
      </x:c>
      <x:c r="G129" s="17" t="str">
        <x:v>Cartão de crédito</x:v>
      </x:c>
      <x:c r="H129" s="17" t="str">
        <x:v>2026-06-08 11:30:46</x:v>
      </x:c>
    </x:row>
    <x:row r="130" ht="15" hidden="0" customHeight="1">
      <x:c r="A130" s="17" t="n">
        <x:v>132</x:v>
      </x:c>
      <x:c r="B130" s="17" t="str">
        <x:v>OP-1213</x:v>
      </x:c>
      <x:c r="C130" s="17" t="str">
        <x:v>PAG-1176</x:v>
      </x:c>
      <x:c r="D130" s="21" t="n">
        <x:v>1085.84</x:v>
      </x:c>
      <x:c r="E130" s="17" t="str">
        <x:v>Pago</x:v>
      </x:c>
      <x:c r="F130" s="17" t="str">
        <x:v>Alejandra López Salazar</x:v>
      </x:c>
      <x:c r="G130" s="17" t="str">
        <x:v>Cartão de crédito</x:v>
      </x:c>
      <x:c r="H130" s="17" t="str">
        <x:v>2026-06-08 10:12:14</x:v>
      </x:c>
    </x:row>
    <x:row r="131" ht="15" hidden="0" customHeight="1">
      <x:c r="A131" s="17" t="n">
        <x:v>134</x:v>
      </x:c>
      <x:c r="B131" s="17" t="str">
        <x:v>OP-1207</x:v>
      </x:c>
      <x:c r="C131" s="17" t="str">
        <x:v>PAG-1174</x:v>
      </x:c>
      <x:c r="D131" s="21" t="n">
        <x:v>479.47</x:v>
      </x:c>
      <x:c r="E131" s="17" t="str">
        <x:v>Pago</x:v>
      </x:c>
      <x:c r="F131" s="17" t="str">
        <x:v>Rene Costa Araújo</x:v>
      </x:c>
      <x:c r="G131" s="17" t="str">
        <x:v>Cartão de crédito</x:v>
      </x:c>
      <x:c r="H131" s="17" t="str">
        <x:v>2026-06-08 09:13:57</x:v>
      </x:c>
    </x:row>
    <x:row r="132" ht="15" hidden="0" customHeight="1">
      <x:c r="A132" s="17" t="n">
        <x:v>135</x:v>
      </x:c>
      <x:c r="B132" s="17" t="str">
        <x:v>OP-1207</x:v>
      </x:c>
      <x:c r="C132" s="17" t="str">
        <x:v>PAG-1173</x:v>
      </x:c>
      <x:c r="D132" s="21" t="n">
        <x:v>479.47</x:v>
      </x:c>
      <x:c r="E132" s="17" t="str">
        <x:v>Pago</x:v>
      </x:c>
      <x:c r="F132" s="17" t="str">
        <x:v>Teo Lenquist da Rocha</x:v>
      </x:c>
      <x:c r="G132" s="17" t="str">
        <x:v>Cartão de crédito</x:v>
      </x:c>
      <x:c r="H132" s="17" t="str">
        <x:v>2026-06-08 09:13:52</x:v>
      </x:c>
    </x:row>
    <x:row r="133" ht="15" hidden="0" customHeight="1">
      <x:c r="A133" s="17" t="n">
        <x:v>136</x:v>
      </x:c>
      <x:c r="B133" s="17" t="str">
        <x:v>OP-1206</x:v>
      </x:c>
      <x:c r="C133" s="17" t="str">
        <x:v>PAG-1172</x:v>
      </x:c>
      <x:c r="D133" s="21" t="n">
        <x:v>859.1</x:v>
      </x:c>
      <x:c r="E133" s="17" t="str">
        <x:v>Pago</x:v>
      </x:c>
      <x:c r="F133" s="17" t="str">
        <x:v>Caio Morini</x:v>
      </x:c>
      <x:c r="G133" s="17" t="str">
        <x:v>Cartão de crédito</x:v>
      </x:c>
      <x:c r="H133" s="17" t="str">
        <x:v>2026-06-08 09:11:06</x:v>
      </x:c>
    </x:row>
    <x:row r="134" ht="15" hidden="0" customHeight="1">
      <x:c r="A134" s="17" t="n">
        <x:v>137</x:v>
      </x:c>
      <x:c r="B134" s="17" t="str">
        <x:v>OP-1205</x:v>
      </x:c>
      <x:c r="C134" s="17" t="str">
        <x:v>PAG-1171</x:v>
      </x:c>
      <x:c r="D134" s="21" t="n">
        <x:v>522.73</x:v>
      </x:c>
      <x:c r="E134" s="17" t="str">
        <x:v>Pago</x:v>
      </x:c>
      <x:c r="F134" s="17" t="str">
        <x:v>Fernanda Pedrosa Runha</x:v>
      </x:c>
      <x:c r="G134" s="17" t="str">
        <x:v>Cartão de crédito</x:v>
      </x:c>
      <x:c r="H134" s="17" t="str">
        <x:v>2026-06-08 09:05:56</x:v>
      </x:c>
    </x:row>
    <x:row r="135" ht="15" hidden="0" customHeight="1">
      <x:c r="A135" s="17" t="n">
        <x:v>138</x:v>
      </x:c>
      <x:c r="B135" s="17" t="str">
        <x:v>OP-1204</x:v>
      </x:c>
      <x:c r="C135" s="17" t="str">
        <x:v>PAG-1170</x:v>
      </x:c>
      <x:c r="D135" s="21" t="n">
        <x:v>525.36</x:v>
      </x:c>
      <x:c r="E135" s="17" t="str">
        <x:v>Pago</x:v>
      </x:c>
      <x:c r="F135" s="17" t="str">
        <x:v>Genésio Matias de Souza</x:v>
      </x:c>
      <x:c r="G135" s="17" t="str">
        <x:v>Cartão de crédito</x:v>
      </x:c>
      <x:c r="H135" s="17" t="str">
        <x:v>2026-06-08 09:01:24</x:v>
      </x:c>
    </x:row>
    <x:row r="136" ht="15" hidden="0" customHeight="1">
      <x:c r="A136" s="17" t="n">
        <x:v>139</x:v>
      </x:c>
      <x:c r="B136" s="17" t="str">
        <x:v>OP-1204</x:v>
      </x:c>
      <x:c r="C136" s="17" t="str">
        <x:v>PAG-1169</x:v>
      </x:c>
      <x:c r="D136" s="21" t="n">
        <x:v>525.36</x:v>
      </x:c>
      <x:c r="E136" s="17" t="str">
        <x:v>Pago</x:v>
      </x:c>
      <x:c r="F136" s="17" t="str">
        <x:v>André Luis Ferreira dos Santos</x:v>
      </x:c>
      <x:c r="G136" s="17" t="str">
        <x:v>Cartão de crédito</x:v>
      </x:c>
      <x:c r="H136" s="17" t="str">
        <x:v>2026-06-08 09:01:19</x:v>
      </x:c>
    </x:row>
    <x:row r="137" ht="15" hidden="0" customHeight="1">
      <x:c r="A137" s="17" t="n">
        <x:v>140</x:v>
      </x:c>
      <x:c r="B137" s="17" t="str">
        <x:v>OP-1203</x:v>
      </x:c>
      <x:c r="C137" s="17" t="str">
        <x:v>PAG-1168</x:v>
      </x:c>
      <x:c r="D137" s="21" t="n">
        <x:v>952.96</x:v>
      </x:c>
      <x:c r="E137" s="17" t="str">
        <x:v>Pago</x:v>
      </x:c>
      <x:c r="F137" s="17" t="str">
        <x:v>Plínio Eugenio Meireles</x:v>
      </x:c>
      <x:c r="G137" s="17" t="str">
        <x:v>Cartão de crédito</x:v>
      </x:c>
      <x:c r="H137" s="17" t="str">
        <x:v>2026-06-08 08:58:03</x:v>
      </x:c>
    </x:row>
    <x:row r="138" ht="15" hidden="0" customHeight="1">
      <x:c r="A138" s="17" t="n">
        <x:v>141</x:v>
      </x:c>
      <x:c r="B138" s="17" t="str">
        <x:v>OP-1202</x:v>
      </x:c>
      <x:c r="C138" s="17" t="str">
        <x:v>PAG-1167</x:v>
      </x:c>
      <x:c r="D138" s="21" t="n">
        <x:v>928.2</x:v>
      </x:c>
      <x:c r="E138" s="17" t="str">
        <x:v>Pago</x:v>
      </x:c>
      <x:c r="F138" s="17" t="str">
        <x:v>Wesley Smith</x:v>
      </x:c>
      <x:c r="G138" s="17" t="str">
        <x:v>Cartão de crédito</x:v>
      </x:c>
      <x:c r="H138" s="17" t="str">
        <x:v>2026-06-08 08:53:08</x:v>
      </x:c>
    </x:row>
    <x:row r="139" ht="15" hidden="0" customHeight="1">
      <x:c r="A139" s="17" t="n">
        <x:v>142</x:v>
      </x:c>
      <x:c r="B139" s="17" t="str">
        <x:v>OP-1088</x:v>
      </x:c>
      <x:c r="C139" s="17" t="str">
        <x:v>PAG-1166</x:v>
      </x:c>
      <x:c r="D139" s="21" t="n">
        <x:v>615</x:v>
      </x:c>
      <x:c r="E139" s="17" t="str">
        <x:v>Pago</x:v>
      </x:c>
      <x:c r="F139" s="17" t="str">
        <x:v>Maria de Fátima Garcia</x:v>
      </x:c>
      <x:c r="G139" s="17" t="str">
        <x:v>Cartão de crédito</x:v>
      </x:c>
      <x:c r="H139" s="17" t="str">
        <x:v>2026-06-08 08:37:49</x:v>
      </x:c>
    </x:row>
    <x:row r="140" ht="15" hidden="0" customHeight="1">
      <x:c r="A140" s="17" t="n">
        <x:v>143</x:v>
      </x:c>
      <x:c r="B140" s="17" t="str">
        <x:v>OP-1199</x:v>
      </x:c>
      <x:c r="C140" s="17" t="str">
        <x:v>PAG-1165</x:v>
      </x:c>
      <x:c r="D140" s="21" t="n">
        <x:v>1855.61</x:v>
      </x:c>
      <x:c r="E140" s="17" t="str">
        <x:v>Pago</x:v>
      </x:c>
      <x:c r="F140" s="17" t="str">
        <x:v>Oscar Montes</x:v>
      </x:c>
      <x:c r="G140" s="17" t="str">
        <x:v>Cartão de crédito</x:v>
      </x:c>
      <x:c r="H140" s="17" t="str">
        <x:v>2026-06-08 08:35:36</x:v>
      </x:c>
    </x:row>
    <x:row r="141" ht="15" hidden="0" customHeight="1">
      <x:c r="A141" s="17" t="n">
        <x:v>144</x:v>
      </x:c>
      <x:c r="B141" s="17" t="str">
        <x:v>OP-1197</x:v>
      </x:c>
      <x:c r="C141" s="17" t="str">
        <x:v>PAG-1163</x:v>
      </x:c>
      <x:c r="D141" s="21" t="n">
        <x:v>4517.88</x:v>
      </x:c>
      <x:c r="E141" s="17" t="str">
        <x:v>Pago</x:v>
      </x:c>
      <x:c r="F141" s="17" t="str">
        <x:v>Ana Isabel Aristizabal</x:v>
      </x:c>
      <x:c r="G141" s="17" t="str">
        <x:v>Cartão de crédito</x:v>
      </x:c>
      <x:c r="H141" s="17" t="str">
        <x:v>2026-06-02 16:46:40</x:v>
      </x:c>
    </x:row>
    <x:row r="142" ht="15" hidden="0" customHeight="1">
      <x:c r="A142" s="17" t="n">
        <x:v>145</x:v>
      </x:c>
      <x:c r="B142" s="17" t="str">
        <x:v>OP-1196</x:v>
      </x:c>
      <x:c r="C142" s="17" t="str">
        <x:v>PAG-1162</x:v>
      </x:c>
      <x:c r="D142" s="21" t="n">
        <x:v>620.49</x:v>
      </x:c>
      <x:c r="E142" s="17" t="str">
        <x:v>Pago</x:v>
      </x:c>
      <x:c r="F142" s="17" t="str">
        <x:v>Jéssica Nery</x:v>
      </x:c>
      <x:c r="G142" s="17" t="str">
        <x:v>Cartão de crédito</x:v>
      </x:c>
      <x:c r="H142" s="17" t="str">
        <x:v>2026-06-02 14:15:44</x:v>
      </x:c>
    </x:row>
    <x:row r="143" ht="15" hidden="0" customHeight="1">
      <x:c r="A143" s="17" t="n">
        <x:v>146</x:v>
      </x:c>
      <x:c r="B143" s="17" t="str">
        <x:v>OP-1195</x:v>
      </x:c>
      <x:c r="C143" s="17" t="str">
        <x:v>PAG-1161</x:v>
      </x:c>
      <x:c r="D143" s="21" t="n">
        <x:v>491.86</x:v>
      </x:c>
      <x:c r="E143" s="17" t="str">
        <x:v>Pago</x:v>
      </x:c>
      <x:c r="F143" s="17" t="str">
        <x:v>Jéssica Nery</x:v>
      </x:c>
      <x:c r="G143" s="17" t="str">
        <x:v>Cartão de crédito</x:v>
      </x:c>
      <x:c r="H143" s="17" t="str">
        <x:v>2026-06-02 14:14:53</x:v>
      </x:c>
    </x:row>
    <x:row r="144" ht="15" hidden="0" customHeight="1">
      <x:c r="A144" s="17" t="n">
        <x:v>147</x:v>
      </x:c>
      <x:c r="B144" s="17" t="str">
        <x:v>OP-1194</x:v>
      </x:c>
      <x:c r="C144" s="17" t="str">
        <x:v>PAG-1160</x:v>
      </x:c>
      <x:c r="D144" s="21" t="n">
        <x:v>509.42</x:v>
      </x:c>
      <x:c r="E144" s="17" t="str">
        <x:v>Pago</x:v>
      </x:c>
      <x:c r="F144" s="17" t="str">
        <x:v>Maria Laura Cedeño</x:v>
      </x:c>
      <x:c r="G144" s="17" t="str">
        <x:v>Cartão de crédito</x:v>
      </x:c>
      <x:c r="H144" s="17" t="str">
        <x:v>2026-06-02 14:05:34</x:v>
      </x:c>
    </x:row>
    <x:row r="145" ht="15" hidden="0" customHeight="1">
      <x:c r="A145" s="17" t="n">
        <x:v>148</x:v>
      </x:c>
      <x:c r="B145" s="17" t="str">
        <x:v>OP-1188</x:v>
      </x:c>
      <x:c r="C145" s="17" t="str">
        <x:v>PAG-1159</x:v>
      </x:c>
      <x:c r="D145" s="21" t="n">
        <x:v>10368.24</x:v>
      </x:c>
      <x:c r="E145" s="17" t="str">
        <x:v>Pago</x:v>
      </x:c>
      <x:c r="F145" s="17" t="str">
        <x:v>Sushil Iyer</x:v>
      </x:c>
      <x:c r="G145" s="17" t="str">
        <x:v>Cartão de crédito</x:v>
      </x:c>
      <x:c r="H145" s="17" t="str">
        <x:v>2026-06-02 08:14:48</x:v>
      </x:c>
    </x:row>
    <x:row r="146" ht="15" hidden="0" customHeight="1">
      <x:c r="A146" s="17" t="n">
        <x:v>149</x:v>
      </x:c>
      <x:c r="B146" s="17" t="str">
        <x:v>OP-1187</x:v>
      </x:c>
      <x:c r="C146" s="17" t="str">
        <x:v>PAG-1158</x:v>
      </x:c>
      <x:c r="D146" s="21" t="n">
        <x:v>1674.96</x:v>
      </x:c>
      <x:c r="E146" s="17" t="str">
        <x:v>Pago</x:v>
      </x:c>
      <x:c r="F146" s="17" t="str">
        <x:v>Alberto Cardoso</x:v>
      </x:c>
      <x:c r="G146" s="17" t="str">
        <x:v>Cartão de crédito</x:v>
      </x:c>
      <x:c r="H146" s="17" t="str">
        <x:v>2026-06-01 16:07:12</x:v>
      </x:c>
    </x:row>
    <x:row r="147" ht="15" hidden="0" customHeight="1">
      <x:c r="A147" s="17" t="n">
        <x:v>150</x:v>
      </x:c>
      <x:c r="B147" s="17" t="str">
        <x:v>OP-1161</x:v>
      </x:c>
      <x:c r="C147" s="17" t="str">
        <x:v>PAG-1156</x:v>
      </x:c>
      <x:c r="D147" s="21" t="n">
        <x:v>2252.51</x:v>
      </x:c>
      <x:c r="E147" s="17" t="str">
        <x:v>Pago</x:v>
      </x:c>
      <x:c r="F147" s="17" t="str">
        <x:v>Giuliana Pessoa</x:v>
      </x:c>
      <x:c r="G147" s="17" t="str">
        <x:v>Cartão de crédito</x:v>
      </x:c>
      <x:c r="H147" s="17" t="str">
        <x:v>2026-06-01 10:26:38</x:v>
      </x:c>
    </x:row>
    <x:row r="148" ht="15" hidden="0" customHeight="1">
      <x:c r="A148" s="17" t="n">
        <x:v>151</x:v>
      </x:c>
      <x:c r="B148" s="17" t="str">
        <x:v>OP-1186</x:v>
      </x:c>
      <x:c r="C148" s="17" t="str">
        <x:v>PAG-1155</x:v>
      </x:c>
      <x:c r="D148" s="21" t="n">
        <x:v>952.96</x:v>
      </x:c>
      <x:c r="E148" s="17" t="str">
        <x:v>Pago</x:v>
      </x:c>
      <x:c r="F148" s="17" t="str">
        <x:v>Fernanda Pedrosa Runha</x:v>
      </x:c>
      <x:c r="G148" s="17" t="str">
        <x:v>Cartão de crédito</x:v>
      </x:c>
      <x:c r="H148" s="17" t="str">
        <x:v>2026-06-01 10:14:14</x:v>
      </x:c>
    </x:row>
    <x:row r="149" ht="15" hidden="0" customHeight="1">
      <x:c r="A149" s="17" t="n">
        <x:v>152</x:v>
      </x:c>
      <x:c r="B149" s="17" t="str">
        <x:v>OP-1185</x:v>
      </x:c>
      <x:c r="C149" s="17" t="str">
        <x:v>PAG-1154</x:v>
      </x:c>
      <x:c r="D149" s="21" t="n">
        <x:v>859.1</x:v>
      </x:c>
      <x:c r="E149" s="17" t="str">
        <x:v>Pago</x:v>
      </x:c>
      <x:c r="F149" s="17" t="str">
        <x:v>Cibele Carvalho Silva</x:v>
      </x:c>
      <x:c r="G149" s="17" t="str">
        <x:v>Cartão de crédito</x:v>
      </x:c>
      <x:c r="H149" s="17" t="str">
        <x:v>2026-05-29 15:28:49</x:v>
      </x:c>
    </x:row>
    <x:row r="150" ht="15" hidden="0" customHeight="1">
      <x:c r="A150" s="17" t="n">
        <x:v>153</x:v>
      </x:c>
      <x:c r="B150" s="17" t="str">
        <x:v>OP-1184</x:v>
      </x:c>
      <x:c r="C150" s="17" t="str">
        <x:v>PAG-1153</x:v>
      </x:c>
      <x:c r="D150" s="21" t="n">
        <x:v>952.96</x:v>
      </x:c>
      <x:c r="E150" s="17" t="str">
        <x:v>Pago</x:v>
      </x:c>
      <x:c r="F150" s="17" t="str">
        <x:v>Aline Galdieri</x:v>
      </x:c>
      <x:c r="G150" s="17" t="str">
        <x:v>Cartão de crédito</x:v>
      </x:c>
      <x:c r="H150" s="17" t="str">
        <x:v>2026-05-29 15:12:45</x:v>
      </x:c>
    </x:row>
    <x:row r="151" ht="15" hidden="0" customHeight="1">
      <x:c r="A151" s="17" t="n">
        <x:v>154</x:v>
      </x:c>
      <x:c r="B151" s="17" t="str">
        <x:v>OP-1181</x:v>
      </x:c>
      <x:c r="C151" s="17" t="str">
        <x:v>PAG-1151</x:v>
      </x:c>
      <x:c r="D151" s="21" t="n">
        <x:v>1338.74</x:v>
      </x:c>
      <x:c r="E151" s="17" t="str">
        <x:v>Pago</x:v>
      </x:c>
      <x:c r="F151" s="17" t="str">
        <x:v>Vanessa Lima</x:v>
      </x:c>
      <x:c r="G151" s="17" t="str">
        <x:v>Cartão de crédito</x:v>
      </x:c>
      <x:c r="H151" s="17" t="str">
        <x:v>2026-05-29 14:56:45</x:v>
      </x:c>
    </x:row>
    <x:row r="152" ht="15" hidden="0" customHeight="1">
      <x:c r="A152" s="17" t="n">
        <x:v>155</x:v>
      </x:c>
      <x:c r="B152" s="17" t="str">
        <x:v>OP-1183</x:v>
      </x:c>
      <x:c r="C152" s="17" t="str">
        <x:v>PAG-1149</x:v>
      </x:c>
      <x:c r="D152" s="21" t="n">
        <x:v>1598.3</x:v>
      </x:c>
      <x:c r="E152" s="17" t="str">
        <x:v>Pago</x:v>
      </x:c>
      <x:c r="F152" s="17" t="str">
        <x:v>Rafael Henrique Garcia</x:v>
      </x:c>
      <x:c r="G152" s="17" t="str">
        <x:v>Cartão de crédito</x:v>
      </x:c>
      <x:c r="H152" s="17" t="str">
        <x:v>2026-05-29 08:53:05</x:v>
      </x:c>
    </x:row>
    <x:row r="153" ht="15" hidden="0" customHeight="1">
      <x:c r="A153" s="17" t="n">
        <x:v>156</x:v>
      </x:c>
      <x:c r="B153" s="17" t="str">
        <x:v>OP-1182</x:v>
      </x:c>
      <x:c r="C153" s="17" t="str">
        <x:v>PAG-1148</x:v>
      </x:c>
      <x:c r="D153" s="21" t="n">
        <x:v>952.96</x:v>
      </x:c>
      <x:c r="E153" s="17" t="str">
        <x:v>Pago</x:v>
      </x:c>
      <x:c r="F153" s="17" t="str">
        <x:v>Pedro Duque</x:v>
      </x:c>
      <x:c r="G153" s="17" t="str">
        <x:v>Cartão de crédito</x:v>
      </x:c>
      <x:c r="H153" s="17" t="str">
        <x:v>2026-05-28 16:45:27</x:v>
      </x:c>
    </x:row>
    <x:row r="154" ht="15" hidden="0" customHeight="1">
      <x:c r="A154" s="17" t="n">
        <x:v>157</x:v>
      </x:c>
      <x:c r="B154" s="17" t="str">
        <x:v>OP-1180</x:v>
      </x:c>
      <x:c r="C154" s="17" t="str">
        <x:v>PAG-1143</x:v>
      </x:c>
      <x:c r="D154" s="21" t="n">
        <x:v>962.65</x:v>
      </x:c>
      <x:c r="E154" s="17" t="str">
        <x:v>Pago</x:v>
      </x:c>
      <x:c r="F154" s="17" t="str">
        <x:v>Flavio Martins Bueno</x:v>
      </x:c>
      <x:c r="G154" s="17" t="str">
        <x:v>Cartão de crédito</x:v>
      </x:c>
      <x:c r="H154" s="17" t="str">
        <x:v>2026-05-28 15:52:00</x:v>
      </x:c>
    </x:row>
    <x:row r="155" ht="15" hidden="0" customHeight="1">
      <x:c r="A155" s="17" t="n">
        <x:v>158</x:v>
      </x:c>
      <x:c r="B155" s="17" t="str">
        <x:v>OP-1179</x:v>
      </x:c>
      <x:c r="C155" s="17" t="str">
        <x:v>PAG-1142</x:v>
      </x:c>
      <x:c r="D155" s="21" t="n">
        <x:v>1299.29</x:v>
      </x:c>
      <x:c r="E155" s="17" t="str">
        <x:v>Pago</x:v>
      </x:c>
      <x:c r="F155" s="17" t="str">
        <x:v>Marina Marinho S. Cardoso</x:v>
      </x:c>
      <x:c r="G155" s="17" t="str">
        <x:v>Cartão de crédito</x:v>
      </x:c>
      <x:c r="H155" s="17" t="str">
        <x:v>2026-05-28 15:47:55</x:v>
      </x:c>
    </x:row>
    <x:row r="156" ht="15" hidden="0" customHeight="1">
      <x:c r="A156" s="17" t="n">
        <x:v>159</x:v>
      </x:c>
      <x:c r="B156" s="17" t="str">
        <x:v>OP-1176</x:v>
      </x:c>
      <x:c r="C156" s="17" t="str">
        <x:v>PAG-1141</x:v>
      </x:c>
      <x:c r="D156" s="21" t="n">
        <x:v>1519.12</x:v>
      </x:c>
      <x:c r="E156" s="17" t="str">
        <x:v>Pago</x:v>
      </x:c>
      <x:c r="F156" s="17" t="str">
        <x:v>Mariana de Souza Bittencourt de Carvalho </x:v>
      </x:c>
      <x:c r="G156" s="17" t="str">
        <x:v>Cartão de crédito</x:v>
      </x:c>
      <x:c r="H156" s="17" t="str">
        <x:v>2026-05-28 12:10:40</x:v>
      </x:c>
    </x:row>
    <x:row r="157" ht="15" hidden="0" customHeight="1">
      <x:c r="A157" s="17" t="n">
        <x:v>160</x:v>
      </x:c>
      <x:c r="B157" s="17" t="str">
        <x:v>OP-1173</x:v>
      </x:c>
      <x:c r="C157" s="17" t="str">
        <x:v>PAG-1140</x:v>
      </x:c>
      <x:c r="D157" s="21" t="n">
        <x:v>959.89</x:v>
      </x:c>
      <x:c r="E157" s="17" t="str">
        <x:v>Pago</x:v>
      </x:c>
      <x:c r="F157" s="17" t="str">
        <x:v>Plínio Eugenio Meireles</x:v>
      </x:c>
      <x:c r="G157" s="17" t="str">
        <x:v>Cartão de crédito</x:v>
      </x:c>
      <x:c r="H157" s="17" t="str">
        <x:v>2026-05-27 16:26:41</x:v>
      </x:c>
    </x:row>
    <x:row r="158" ht="15" hidden="0" customHeight="1">
      <x:c r="A158" s="17" t="n">
        <x:v>161</x:v>
      </x:c>
      <x:c r="B158" s="17" t="str">
        <x:v>OP-1170</x:v>
      </x:c>
      <x:c r="C158" s="17" t="str">
        <x:v>PAG-1139</x:v>
      </x:c>
      <x:c r="D158" s="21" t="n">
        <x:v>1952.85</x:v>
      </x:c>
      <x:c r="E158" s="17" t="str">
        <x:v>Pago</x:v>
      </x:c>
      <x:c r="F158" s="17" t="str">
        <x:v>Patricia Kavan</x:v>
      </x:c>
      <x:c r="G158" s="17" t="str">
        <x:v>Cartão de crédito</x:v>
      </x:c>
      <x:c r="H158" s="17" t="str">
        <x:v>2026-05-27 15:49:30</x:v>
      </x:c>
    </x:row>
    <x:row r="159" ht="15" hidden="0" customHeight="1">
      <x:c r="A159" s="17" t="n">
        <x:v>162</x:v>
      </x:c>
      <x:c r="B159" s="17" t="str">
        <x:v>OP-1172</x:v>
      </x:c>
      <x:c r="C159" s="17" t="str">
        <x:v>PAG-1138</x:v>
      </x:c>
      <x:c r="D159" s="21" t="n">
        <x:v>925.7</x:v>
      </x:c>
      <x:c r="E159" s="17" t="str">
        <x:v>Pago</x:v>
      </x:c>
      <x:c r="F159" s="17" t="str">
        <x:v>Ana Lemke Salvador</x:v>
      </x:c>
      <x:c r="G159" s="17" t="str">
        <x:v>Cartão de crédito</x:v>
      </x:c>
      <x:c r="H159" s="17" t="str">
        <x:v>2026-05-27 15:43:10</x:v>
      </x:c>
    </x:row>
    <x:row r="160" ht="15" hidden="0" customHeight="1">
      <x:c r="A160" s="17" t="n">
        <x:v>163</x:v>
      </x:c>
      <x:c r="B160" s="17" t="str">
        <x:v>OP-1171</x:v>
      </x:c>
      <x:c r="C160" s="17" t="str">
        <x:v>PAG-1137</x:v>
      </x:c>
      <x:c r="D160" s="21" t="n">
        <x:v>957</x:v>
      </x:c>
      <x:c r="E160" s="17" t="str">
        <x:v>Pago</x:v>
      </x:c>
      <x:c r="F160" s="17" t="str">
        <x:v>Gustavo Lisboa</x:v>
      </x:c>
      <x:c r="G160" s="17" t="str">
        <x:v>Cartão de crédito</x:v>
      </x:c>
      <x:c r="H160" s="17" t="str">
        <x:v>2026-05-26 14:06:44</x:v>
      </x:c>
    </x:row>
    <x:row r="161" ht="15" hidden="0" customHeight="1">
      <x:c r="A161" s="17" t="n">
        <x:v>164</x:v>
      </x:c>
      <x:c r="B161" s="17" t="str">
        <x:v>OP-1169</x:v>
      </x:c>
      <x:c r="C161" s="17" t="str">
        <x:v>PAG-1136</x:v>
      </x:c>
      <x:c r="D161" s="21" t="n">
        <x:v>859.1</x:v>
      </x:c>
      <x:c r="E161" s="17" t="str">
        <x:v>Pago</x:v>
      </x:c>
      <x:c r="F161" s="17" t="str">
        <x:v>Gustavo Pasqual</x:v>
      </x:c>
      <x:c r="G161" s="17" t="str">
        <x:v>Cartão de crédito</x:v>
      </x:c>
      <x:c r="H161" s="17" t="str">
        <x:v>2026-05-25 08:56:40</x:v>
      </x:c>
    </x:row>
    <x:row r="162" ht="15" hidden="0" customHeight="1">
      <x:c r="A162" s="17" t="n">
        <x:v>165</x:v>
      </x:c>
      <x:c r="B162" s="17" t="str">
        <x:v>OP-1168</x:v>
      </x:c>
      <x:c r="C162" s="17" t="str">
        <x:v>PAG-1135</x:v>
      </x:c>
      <x:c r="D162" s="21" t="n">
        <x:v>859.1</x:v>
      </x:c>
      <x:c r="E162" s="17" t="str">
        <x:v>Pago</x:v>
      </x:c>
      <x:c r="F162" s="17" t="str">
        <x:v>Igor Siqueira</x:v>
      </x:c>
      <x:c r="G162" s="17" t="str">
        <x:v>Cartão de crédito</x:v>
      </x:c>
      <x:c r="H162" s="17" t="str">
        <x:v>2026-05-25 08:56:05</x:v>
      </x:c>
    </x:row>
    <x:row r="163" ht="15" hidden="0" customHeight="1">
      <x:c r="A163" s="17" t="n">
        <x:v>166</x:v>
      </x:c>
      <x:c r="B163" s="17" t="str">
        <x:v>OP-1167</x:v>
      </x:c>
      <x:c r="C163" s="17" t="str">
        <x:v>PAG-1134</x:v>
      </x:c>
      <x:c r="D163" s="21" t="n">
        <x:v>1050.72</x:v>
      </x:c>
      <x:c r="E163" s="17" t="str">
        <x:v>Pago</x:v>
      </x:c>
      <x:c r="F163" s="17" t="str">
        <x:v>Cinthia Oliveira</x:v>
      </x:c>
      <x:c r="G163" s="17" t="str">
        <x:v>Cartão de crédito</x:v>
      </x:c>
      <x:c r="H163" s="17" t="str">
        <x:v>2026-05-25 08:52:00</x:v>
      </x:c>
    </x:row>
    <x:row r="164" ht="15" hidden="0" customHeight="1">
      <x:c r="A164" s="17" t="n">
        <x:v>167</x:v>
      </x:c>
      <x:c r="B164" s="17" t="str">
        <x:v>OP-1165</x:v>
      </x:c>
      <x:c r="C164" s="17" t="str">
        <x:v>PAG-1133</x:v>
      </x:c>
      <x:c r="D164" s="21" t="n">
        <x:v>952.96</x:v>
      </x:c>
      <x:c r="E164" s="17" t="str">
        <x:v>Pago</x:v>
      </x:c>
      <x:c r="F164" s="17" t="str">
        <x:v>Thais Figueiredo</x:v>
      </x:c>
      <x:c r="G164" s="17" t="str">
        <x:v>Cartão de crédito</x:v>
      </x:c>
      <x:c r="H164" s="17" t="str">
        <x:v>2026-05-22 14:18:39</x:v>
      </x:c>
    </x:row>
    <x:row r="165" ht="15" hidden="0" customHeight="1">
      <x:c r="A165" s="17" t="n">
        <x:v>168</x:v>
      </x:c>
      <x:c r="B165" s="17" t="str">
        <x:v>OP-1164</x:v>
      </x:c>
      <x:c r="C165" s="17" t="str">
        <x:v>PAG-1131</x:v>
      </x:c>
      <x:c r="D165" s="21" t="n">
        <x:v>1335.98</x:v>
      </x:c>
      <x:c r="E165" s="17" t="str">
        <x:v>Pago</x:v>
      </x:c>
      <x:c r="F165" s="17" t="str">
        <x:v>Carolina Huang</x:v>
      </x:c>
      <x:c r="G165" s="17" t="str">
        <x:v>Cartão de crédito</x:v>
      </x:c>
      <x:c r="H165" s="17" t="str">
        <x:v>2026-05-22 14:18:05</x:v>
      </x:c>
    </x:row>
    <x:row r="166" ht="15" hidden="0" customHeight="1">
      <x:c r="A166" s="17" t="n">
        <x:v>169</x:v>
      </x:c>
      <x:c r="B166" s="17" t="str">
        <x:v>OP-1163</x:v>
      </x:c>
      <x:c r="C166" s="17" t="str">
        <x:v>PAG-1128</x:v>
      </x:c>
      <x:c r="D166" s="21" t="n">
        <x:v>331.59</x:v>
      </x:c>
      <x:c r="E166" s="17" t="str">
        <x:v>Pendente</x:v>
      </x:c>
      <x:c r="F166" s="17" t="str">
        <x:v>JENNY CAROLINA CANO MONROY</x:v>
      </x:c>
      <x:c r="G166" s="17" t="str">
        <x:v>Cartão de crédito</x:v>
      </x:c>
      <x:c r="H166" s="17" t="str">
        <x:v>2026-05-22 11:57:21</x:v>
      </x:c>
    </x:row>
    <x:row r="167" ht="15" hidden="0" customHeight="1">
      <x:c r="A167" s="17" t="n">
        <x:v>170</x:v>
      </x:c>
      <x:c r="B167" s="17" t="str">
        <x:v>OP-1163</x:v>
      </x:c>
      <x:c r="C167" s="17" t="str">
        <x:v>PAG-1129</x:v>
      </x:c>
      <x:c r="D167" s="21" t="n">
        <x:v>331.59</x:v>
      </x:c>
      <x:c r="E167" s="17" t="str">
        <x:v>Pago</x:v>
      </x:c>
      <x:c r="F167" s="17" t="str">
        <x:v>ELIZABETH CAMARGO RODRIGUEZ</x:v>
      </x:c>
      <x:c r="G167" s="17" t="str">
        <x:v>Cartão de crédito</x:v>
      </x:c>
      <x:c r="H167" s="17" t="str">
        <x:v>2026-05-22 11:57:21</x:v>
      </x:c>
    </x:row>
    <x:row r="168" ht="15" hidden="0" customHeight="1">
      <x:c r="A168" s="17" t="n">
        <x:v>171</x:v>
      </x:c>
      <x:c r="B168" s="17" t="str">
        <x:v>OP-1163</x:v>
      </x:c>
      <x:c r="C168" s="17" t="str">
        <x:v>PAG-1130</x:v>
      </x:c>
      <x:c r="D168" s="21" t="n">
        <x:v>331.59</x:v>
      </x:c>
      <x:c r="E168" s="17" t="str">
        <x:v>Pendente</x:v>
      </x:c>
      <x:c r="F168" s="17" t="str">
        <x:v>DIANA CAROLINA SANTISTEBAN VILLAMONTE</x:v>
      </x:c>
      <x:c r="G168" s="17" t="str">
        <x:v>Cartão de crédito</x:v>
      </x:c>
      <x:c r="H168" s="17" t="str">
        <x:v>2026-05-22 11:57:21</x:v>
      </x:c>
    </x:row>
    <x:row r="169" ht="15" hidden="0" customHeight="1">
      <x:c r="A169" s="17" t="n">
        <x:v>172</x:v>
      </x:c>
      <x:c r="B169" s="17" t="str">
        <x:v>OP-1163</x:v>
      </x:c>
      <x:c r="C169" s="17" t="str">
        <x:v>PAG-1127</x:v>
      </x:c>
      <x:c r="D169" s="21" t="n">
        <x:v>331.59</x:v>
      </x:c>
      <x:c r="E169" s="17" t="str">
        <x:v>Pago</x:v>
      </x:c>
      <x:c r="F169" s="17" t="str">
        <x:v>ARACELI CASTILLO MERINO</x:v>
      </x:c>
      <x:c r="G169" s="17" t="str">
        <x:v>Cartão de crédito</x:v>
      </x:c>
      <x:c r="H169" s="17" t="str">
        <x:v>2026-05-22 11:57:20</x:v>
      </x:c>
    </x:row>
    <x:row r="170" ht="15" hidden="0" customHeight="1">
      <x:c r="A170" s="17" t="n">
        <x:v>173</x:v>
      </x:c>
      <x:c r="B170" s="17" t="str">
        <x:v>OP-1162</x:v>
      </x:c>
      <x:c r="C170" s="17" t="str">
        <x:v>PAG-1126</x:v>
      </x:c>
      <x:c r="D170" s="21" t="n">
        <x:v>859.1</x:v>
      </x:c>
      <x:c r="E170" s="17" t="str">
        <x:v>Pago</x:v>
      </x:c>
      <x:c r="F170" s="17" t="str">
        <x:v>Denis Vieira Lima</x:v>
      </x:c>
      <x:c r="G170" s="17" t="str">
        <x:v>Cartão de crédito</x:v>
      </x:c>
      <x:c r="H170" s="17" t="str">
        <x:v>2026-05-21 16:56:38</x:v>
      </x:c>
    </x:row>
    <x:row r="171" ht="15" hidden="0" customHeight="1">
      <x:c r="A171" s="17" t="n">
        <x:v>174</x:v>
      </x:c>
      <x:c r="B171" s="17" t="str">
        <x:v>OP-1160</x:v>
      </x:c>
      <x:c r="C171" s="17" t="str">
        <x:v>PAG-1125</x:v>
      </x:c>
      <x:c r="D171" s="21" t="n">
        <x:v>1116.84</x:v>
      </x:c>
      <x:c r="E171" s="17" t="str">
        <x:v>Pago</x:v>
      </x:c>
      <x:c r="F171" s="17" t="str">
        <x:v>Anthony Angelosante</x:v>
      </x:c>
      <x:c r="G171" s="17" t="str">
        <x:v>Cartão de crédito</x:v>
      </x:c>
      <x:c r="H171" s="17" t="str">
        <x:v>2026-05-21 14:01:29</x:v>
      </x:c>
    </x:row>
    <x:row r="172" ht="15" hidden="0" customHeight="1">
      <x:c r="A172" s="17" t="n">
        <x:v>175</x:v>
      </x:c>
      <x:c r="B172" s="17" t="str">
        <x:v>OP-1153</x:v>
      </x:c>
      <x:c r="C172" s="17" t="str">
        <x:v>PAG-1124</x:v>
      </x:c>
      <x:c r="D172" s="21" t="n">
        <x:v>1159.1</x:v>
      </x:c>
      <x:c r="E172" s="17" t="str">
        <x:v>Pago</x:v>
      </x:c>
      <x:c r="F172" s="17" t="str">
        <x:v>Julio Cesar Parquet Bizarria </x:v>
      </x:c>
      <x:c r="G172" s="17" t="str">
        <x:v>Cartão de crédito</x:v>
      </x:c>
      <x:c r="H172" s="17" t="str">
        <x:v>2026-05-21 09:39:04</x:v>
      </x:c>
    </x:row>
    <x:row r="173" ht="15" hidden="0" customHeight="1">
      <x:c r="A173" s="17" t="n">
        <x:v>176</x:v>
      </x:c>
      <x:c r="B173" s="17" t="str">
        <x:v>OP-1158</x:v>
      </x:c>
      <x:c r="C173" s="17" t="str">
        <x:v>PAG-1123</x:v>
      </x:c>
      <x:c r="D173" s="21" t="n">
        <x:v>1204.29</x:v>
      </x:c>
      <x:c r="E173" s="17" t="str">
        <x:v>Pendente</x:v>
      </x:c>
      <x:c r="F173" s="17" t="str">
        <x:v>Fernando Silva</x:v>
      </x:c>
      <x:c r="G173" s="17" t="str">
        <x:v>Cartão de crédito</x:v>
      </x:c>
      <x:c r="H173" s="17" t="str">
        <x:v>2026-05-20 08:52:13</x:v>
      </x:c>
    </x:row>
    <x:row r="174" ht="15" hidden="0" customHeight="1">
      <x:c r="A174" s="17" t="n">
        <x:v>177</x:v>
      </x:c>
      <x:c r="B174" s="17" t="str">
        <x:v>OP-1157</x:v>
      </x:c>
      <x:c r="C174" s="17" t="str">
        <x:v>PAG-1122</x:v>
      </x:c>
      <x:c r="D174" s="21" t="n">
        <x:v>1209.29</x:v>
      </x:c>
      <x:c r="E174" s="17" t="str">
        <x:v>Pendente</x:v>
      </x:c>
      <x:c r="F174" s="17" t="str">
        <x:v>Fernando Silva</x:v>
      </x:c>
      <x:c r="G174" s="17" t="str">
        <x:v>Cartão de crédito</x:v>
      </x:c>
      <x:c r="H174" s="17" t="str">
        <x:v>2026-05-20 08:48:10</x:v>
      </x:c>
    </x:row>
    <x:row r="175" ht="15" hidden="0" customHeight="1">
      <x:c r="A175" s="17" t="n">
        <x:v>178</x:v>
      </x:c>
      <x:c r="B175" s="17" t="str">
        <x:v>OP-1156</x:v>
      </x:c>
      <x:c r="C175" s="17" t="str">
        <x:v>PAG-1121</x:v>
      </x:c>
      <x:c r="D175" s="21" t="n">
        <x:v>1207.05</x:v>
      </x:c>
      <x:c r="E175" s="17" t="str">
        <x:v>Pago</x:v>
      </x:c>
      <x:c r="F175" s="17" t="str">
        <x:v>Leonardo Fazan</x:v>
      </x:c>
      <x:c r="G175" s="17" t="str">
        <x:v>Cartão de crédito</x:v>
      </x:c>
      <x:c r="H175" s="17" t="str">
        <x:v>2026-05-19 11:19:32</x:v>
      </x:c>
    </x:row>
    <x:row r="176" ht="15" hidden="0" customHeight="1">
      <x:c r="A176" s="17" t="n">
        <x:v>179</x:v>
      </x:c>
      <x:c r="B176" s="17" t="str">
        <x:v>OP-1155</x:v>
      </x:c>
      <x:c r="C176" s="17" t="str">
        <x:v>PAG-1120</x:v>
      </x:c>
      <x:c r="D176" s="21" t="n">
        <x:v>2023.06</x:v>
      </x:c>
      <x:c r="E176" s="17" t="str">
        <x:v>Pago</x:v>
      </x:c>
      <x:c r="F176" s="17" t="str">
        <x:v>Eduardo Batista Nascimento</x:v>
      </x:c>
      <x:c r="G176" s="17" t="str">
        <x:v>Cartão de crédito</x:v>
      </x:c>
      <x:c r="H176" s="17" t="str">
        <x:v>2026-05-19 11:12:53</x:v>
      </x:c>
    </x:row>
    <x:row r="177" ht="15" hidden="0" customHeight="1">
      <x:c r="A177" s="17" t="n">
        <x:v>180</x:v>
      </x:c>
      <x:c r="B177" s="17" t="str">
        <x:v>OP-1154</x:v>
      </x:c>
      <x:c r="C177" s="17" t="str">
        <x:v>PAG-1119</x:v>
      </x:c>
      <x:c r="D177" s="21" t="n">
        <x:v>1109.29</x:v>
      </x:c>
      <x:c r="E177" s="17" t="str">
        <x:v>Pago</x:v>
      </x:c>
      <x:c r="F177" s="17" t="str">
        <x:v>Angela Araujo</x:v>
      </x:c>
      <x:c r="G177" s="17" t="str">
        <x:v>Cartão de crédito</x:v>
      </x:c>
      <x:c r="H177" s="17" t="str">
        <x:v>2026-05-19 11:04:16</x:v>
      </x:c>
    </x:row>
    <x:row r="178" ht="15" hidden="0" customHeight="1">
      <x:c r="A178" s="17" t="n">
        <x:v>181</x:v>
      </x:c>
      <x:c r="B178" s="17" t="str">
        <x:v>OP-1150</x:v>
      </x:c>
      <x:c r="C178" s="17" t="str">
        <x:v>PAG-1116</x:v>
      </x:c>
      <x:c r="D178" s="21" t="n">
        <x:v>442.98</x:v>
      </x:c>
      <x:c r="E178" s="17" t="str">
        <x:v>Pendente</x:v>
      </x:c>
      <x:c r="F178" s="17" t="str">
        <x:v>Everton Ribeiro Corrêa</x:v>
      </x:c>
      <x:c r="G178" s="17" t="str">
        <x:v>Cartão de crédito</x:v>
      </x:c>
      <x:c r="H178" s="17" t="str">
        <x:v>2026-05-19 09:30:50</x:v>
      </x:c>
    </x:row>
    <x:row r="179" ht="15" hidden="0" customHeight="1">
      <x:c r="A179" s="17" t="n">
        <x:v>182</x:v>
      </x:c>
      <x:c r="B179" s="17" t="str">
        <x:v>OP-1152</x:v>
      </x:c>
      <x:c r="C179" s="17" t="str">
        <x:v>PAG-1115</x:v>
      </x:c>
      <x:c r="D179" s="21" t="n">
        <x:v>1011.53</x:v>
      </x:c>
      <x:c r="E179" s="17" t="str">
        <x:v>Pago</x:v>
      </x:c>
      <x:c r="F179" s="17" t="str">
        <x:v>Fernanda Pedrosa Runha</x:v>
      </x:c>
      <x:c r="G179" s="17" t="str">
        <x:v>Cartão de crédito</x:v>
      </x:c>
      <x:c r="H179" s="17" t="str">
        <x:v>2026-05-19 09:27:29</x:v>
      </x:c>
    </x:row>
    <x:row r="180" ht="15" hidden="0" customHeight="1">
      <x:c r="A180" s="17" t="n">
        <x:v>183</x:v>
      </x:c>
      <x:c r="B180" s="17" t="str">
        <x:v>OP-1149</x:v>
      </x:c>
      <x:c r="C180" s="17" t="str">
        <x:v>PAG-1114</x:v>
      </x:c>
      <x:c r="D180" s="21" t="n">
        <x:v>1590</x:v>
      </x:c>
      <x:c r="E180" s="17" t="str">
        <x:v>Pago</x:v>
      </x:c>
      <x:c r="F180" s="17" t="str">
        <x:v>Scott Vail</x:v>
      </x:c>
      <x:c r="G180" s="17" t="str">
        <x:v>Cartão de crédito</x:v>
      </x:c>
      <x:c r="H180" s="17" t="str">
        <x:v>2026-05-18 16:48:03</x:v>
      </x:c>
    </x:row>
    <x:row r="181" ht="15" hidden="0" customHeight="1">
      <x:c r="A181" s="17" t="n">
        <x:v>184</x:v>
      </x:c>
      <x:c r="B181" s="17" t="str">
        <x:v>OP-1148</x:v>
      </x:c>
      <x:c r="C181" s="17" t="str">
        <x:v>PAG-1113</x:v>
      </x:c>
      <x:c r="D181" s="21" t="n">
        <x:v>2651.03</x:v>
      </x:c>
      <x:c r="E181" s="17" t="str">
        <x:v>Pago</x:v>
      </x:c>
      <x:c r="F181" s="17" t="str">
        <x:v>Andressa Peyrot</x:v>
      </x:c>
      <x:c r="G181" s="17" t="str">
        <x:v>Cartão de crédito</x:v>
      </x:c>
      <x:c r="H181" s="17" t="str">
        <x:v>2026-05-18 16:35:57</x:v>
      </x:c>
    </x:row>
    <x:row r="182" ht="15" hidden="0" customHeight="1">
      <x:c r="A182" s="17" t="n">
        <x:v>185</x:v>
      </x:c>
      <x:c r="B182" s="17" t="str">
        <x:v>OP-1144</x:v>
      </x:c>
      <x:c r="C182" s="17" t="str">
        <x:v>PAG-1112</x:v>
      </x:c>
      <x:c r="D182" s="21" t="n">
        <x:v>479.47</x:v>
      </x:c>
      <x:c r="E182" s="17" t="str">
        <x:v>Pago</x:v>
      </x:c>
      <x:c r="F182" s="17" t="str">
        <x:v>Rene Costa Araújo</x:v>
      </x:c>
      <x:c r="G182" s="17" t="str">
        <x:v>Cartão de crédito</x:v>
      </x:c>
      <x:c r="H182" s="17" t="str">
        <x:v>2026-05-18 11:37:23</x:v>
      </x:c>
    </x:row>
    <x:row r="183" ht="15" hidden="0" customHeight="1">
      <x:c r="A183" s="17" t="n">
        <x:v>186</x:v>
      </x:c>
      <x:c r="B183" s="17" t="str">
        <x:v>OP-1144</x:v>
      </x:c>
      <x:c r="C183" s="17" t="str">
        <x:v>PAG-1111</x:v>
      </x:c>
      <x:c r="D183" s="21" t="n">
        <x:v>479.47</x:v>
      </x:c>
      <x:c r="E183" s="17" t="str">
        <x:v>Pago</x:v>
      </x:c>
      <x:c r="F183" s="17" t="str">
        <x:v>Lucas Rafael Leandro Silva</x:v>
      </x:c>
      <x:c r="G183" s="17" t="str">
        <x:v>Cartão de crédito</x:v>
      </x:c>
      <x:c r="H183" s="17" t="str">
        <x:v>2026-05-18 11:36:55</x:v>
      </x:c>
    </x:row>
    <x:row r="184" ht="15" hidden="0" customHeight="1">
      <x:c r="A184" s="17" t="n">
        <x:v>187</x:v>
      </x:c>
      <x:c r="B184" s="17" t="str">
        <x:v>OP-1143</x:v>
      </x:c>
      <x:c r="C184" s="17" t="str">
        <x:v>PAG-1109</x:v>
      </x:c>
      <x:c r="D184" s="21" t="n">
        <x:v>581.83</x:v>
      </x:c>
      <x:c r="E184" s="17" t="str">
        <x:v>Pago</x:v>
      </x:c>
      <x:c r="F184" s="17" t="str">
        <x:v>Mrs. Marina Ausonio</x:v>
      </x:c>
      <x:c r="G184" s="17" t="str">
        <x:v>Cartão de crédito</x:v>
      </x:c>
      <x:c r="H184" s="17" t="str">
        <x:v>2026-05-18 09:24:05</x:v>
      </x:c>
    </x:row>
    <x:row r="185" ht="15" hidden="0" customHeight="1">
      <x:c r="A185" s="17" t="n">
        <x:v>188</x:v>
      </x:c>
      <x:c r="B185" s="17" t="str">
        <x:v>OP-1143</x:v>
      </x:c>
      <x:c r="C185" s="17" t="str">
        <x:v>PAG-1110</x:v>
      </x:c>
      <x:c r="D185" s="21" t="n">
        <x:v>581.83</x:v>
      </x:c>
      <x:c r="E185" s="17" t="str">
        <x:v>Pago</x:v>
      </x:c>
      <x:c r="F185" s="17" t="str">
        <x:v>Mr. Mirko Zisa</x:v>
      </x:c>
      <x:c r="G185" s="17" t="str">
        <x:v>Cartão de crédito</x:v>
      </x:c>
      <x:c r="H185" s="17" t="str">
        <x:v>2026-05-18 09:24:05</x:v>
      </x:c>
    </x:row>
    <x:row r="186" ht="15" hidden="0" customHeight="1">
      <x:c r="A186" s="17" t="n">
        <x:v>189</x:v>
      </x:c>
      <x:c r="B186" s="17" t="str">
        <x:v>OP-1142</x:v>
      </x:c>
      <x:c r="C186" s="17" t="str">
        <x:v>PAG-1108</x:v>
      </x:c>
      <x:c r="D186" s="21" t="n">
        <x:v>670.49</x:v>
      </x:c>
      <x:c r="E186" s="17" t="str">
        <x:v>Pago</x:v>
      </x:c>
      <x:c r="F186" s="17" t="str">
        <x:v>Roneide Oliveira</x:v>
      </x:c>
      <x:c r="G186" s="17" t="str">
        <x:v>Cartão de crédito</x:v>
      </x:c>
      <x:c r="H186" s="17" t="str">
        <x:v>2026-05-18 08:53:47</x:v>
      </x:c>
    </x:row>
    <x:row r="187" ht="15" hidden="0" customHeight="1">
      <x:c r="A187" s="17" t="n">
        <x:v>190</x:v>
      </x:c>
      <x:c r="B187" s="17" t="str">
        <x:v>OP-1141</x:v>
      </x:c>
      <x:c r="C187" s="17" t="str">
        <x:v>PAG-1107</x:v>
      </x:c>
      <x:c r="D187" s="21" t="n">
        <x:v>1050.72</x:v>
      </x:c>
      <x:c r="E187" s="17" t="str">
        <x:v>Pago</x:v>
      </x:c>
      <x:c r="F187" s="17" t="str">
        <x:v>Paula Medici </x:v>
      </x:c>
      <x:c r="G187" s="17" t="str">
        <x:v>Cartão de crédito</x:v>
      </x:c>
      <x:c r="H187" s="17" t="str">
        <x:v>2026-05-18 08:47:06</x:v>
      </x:c>
    </x:row>
    <x:row r="188" ht="15" hidden="0" customHeight="1">
      <x:c r="A188" s="17" t="n">
        <x:v>191</x:v>
      </x:c>
      <x:c r="B188" s="17" t="str">
        <x:v>OP-1140</x:v>
      </x:c>
      <x:c r="C188" s="17" t="str">
        <x:v>PAG-1106</x:v>
      </x:c>
      <x:c r="D188" s="21" t="n">
        <x:v>952.96</x:v>
      </x:c>
      <x:c r="E188" s="17" t="str">
        <x:v>Pago</x:v>
      </x:c>
      <x:c r="F188" s="17" t="str">
        <x:v>Antonio Amaro</x:v>
      </x:c>
      <x:c r="G188" s="17" t="str">
        <x:v>Cartão de crédito</x:v>
      </x:c>
      <x:c r="H188" s="17" t="str">
        <x:v>2026-05-18 08:36:07</x:v>
      </x:c>
    </x:row>
    <x:row r="189" ht="15" hidden="0" customHeight="1">
      <x:c r="A189" s="17" t="n">
        <x:v>192</x:v>
      </x:c>
      <x:c r="B189" s="17" t="str">
        <x:v>OP-1139</x:v>
      </x:c>
      <x:c r="C189" s="17" t="str">
        <x:v>PAG-1105</x:v>
      </x:c>
      <x:c r="D189" s="21" t="n">
        <x:v>952.96</x:v>
      </x:c>
      <x:c r="E189" s="17" t="str">
        <x:v>Pago</x:v>
      </x:c>
      <x:c r="F189" s="17" t="str">
        <x:v>Vitor Marcondes</x:v>
      </x:c>
      <x:c r="G189" s="17" t="str">
        <x:v>Cartão de crédito</x:v>
      </x:c>
      <x:c r="H189" s="17" t="str">
        <x:v>2026-05-18 08:30:24</x:v>
      </x:c>
    </x:row>
    <x:row r="190" ht="15" hidden="0" customHeight="1">
      <x:c r="A190" s="17" t="n">
        <x:v>193</x:v>
      </x:c>
      <x:c r="B190" s="17" t="str">
        <x:v>OP-1138</x:v>
      </x:c>
      <x:c r="C190" s="17" t="str">
        <x:v>PAG-1104</x:v>
      </x:c>
      <x:c r="D190" s="21" t="n">
        <x:v>952.96</x:v>
      </x:c>
      <x:c r="E190" s="17" t="str">
        <x:v>Pago</x:v>
      </x:c>
      <x:c r="F190" s="17" t="str">
        <x:v>Aline Galdieri</x:v>
      </x:c>
      <x:c r="G190" s="17" t="str">
        <x:v>Cartão de crédito</x:v>
      </x:c>
      <x:c r="H190" s="17" t="str">
        <x:v>2026-05-18 08:23:59</x:v>
      </x:c>
    </x:row>
    <x:row r="191" ht="15" hidden="0" customHeight="1">
      <x:c r="A191" s="17" t="n">
        <x:v>194</x:v>
      </x:c>
      <x:c r="B191" s="17" t="str">
        <x:v>OP-1135</x:v>
      </x:c>
      <x:c r="C191" s="17" t="str">
        <x:v>PAG-1103</x:v>
      </x:c>
      <x:c r="D191" s="21" t="n">
        <x:v>2102.96</x:v>
      </x:c>
      <x:c r="E191" s="17" t="str">
        <x:v>Pago</x:v>
      </x:c>
      <x:c r="F191" s="17" t="str">
        <x:v>Giuliana Pessoa</x:v>
      </x:c>
      <x:c r="G191" s="17" t="str">
        <x:v>Cartão de crédito</x:v>
      </x:c>
      <x:c r="H191" s="17" t="str">
        <x:v>2026-05-15 15:14:35</x:v>
      </x:c>
    </x:row>
    <x:row r="192" ht="15" hidden="0" customHeight="1">
      <x:c r="A192" s="17" t="n">
        <x:v>195</x:v>
      </x:c>
      <x:c r="B192" s="17" t="str">
        <x:v>OP-1131</x:v>
      </x:c>
      <x:c r="C192" s="17" t="str">
        <x:v>PAG-1102</x:v>
      </x:c>
      <x:c r="D192" s="21" t="n">
        <x:v>952.96</x:v>
      </x:c>
      <x:c r="E192" s="17" t="str">
        <x:v>Pago</x:v>
      </x:c>
      <x:c r="F192" s="17" t="str">
        <x:v>Renato Rodrigues Mendes da Silva Filho</x:v>
      </x:c>
      <x:c r="G192" s="17" t="str">
        <x:v>Cartão de crédito</x:v>
      </x:c>
      <x:c r="H192" s="17" t="str">
        <x:v>2026-05-15 13:29:03</x:v>
      </x:c>
    </x:row>
    <x:row r="193" ht="15" hidden="0" customHeight="1">
      <x:c r="A193" s="17" t="n">
        <x:v>196</x:v>
      </x:c>
      <x:c r="B193" s="17" t="str">
        <x:v>OP-1133</x:v>
      </x:c>
      <x:c r="C193" s="17" t="str">
        <x:v>PAG-1101</x:v>
      </x:c>
      <x:c r="D193" s="21" t="n">
        <x:v>952.96</x:v>
      </x:c>
      <x:c r="E193" s="17" t="str">
        <x:v>Pago</x:v>
      </x:c>
      <x:c r="F193" s="17" t="str">
        <x:v>Carolina Huang</x:v>
      </x:c>
      <x:c r="G193" s="17" t="str">
        <x:v>Cartão de crédito</x:v>
      </x:c>
      <x:c r="H193" s="17" t="str">
        <x:v>2026-05-15 09:51:17</x:v>
      </x:c>
    </x:row>
    <x:row r="194" ht="15" hidden="0" customHeight="1">
      <x:c r="A194" s="17" t="n">
        <x:v>197</x:v>
      </x:c>
      <x:c r="B194" s="17" t="str">
        <x:v>OP-1132</x:v>
      </x:c>
      <x:c r="C194" s="17" t="str">
        <x:v>PAG-1100</x:v>
      </x:c>
      <x:c r="D194" s="21" t="n">
        <x:v>1351.44</x:v>
      </x:c>
      <x:c r="E194" s="17" t="str">
        <x:v>Pago</x:v>
      </x:c>
      <x:c r="F194" s="17" t="str">
        <x:v>Paula Ribeiro</x:v>
      </x:c>
      <x:c r="G194" s="17" t="str">
        <x:v>Cartão de crédito</x:v>
      </x:c>
      <x:c r="H194" s="17" t="str">
        <x:v>2026-05-15 09:44:22</x:v>
      </x:c>
    </x:row>
    <x:row r="195" ht="15" hidden="0" customHeight="1">
      <x:c r="A195" s="17" t="n">
        <x:v>198</x:v>
      </x:c>
      <x:c r="B195" s="17" t="str">
        <x:v>OP-1130</x:v>
      </x:c>
      <x:c r="C195" s="17" t="str">
        <x:v>PAG-1098</x:v>
      </x:c>
      <x:c r="D195" s="21" t="n">
        <x:v>1273.98</x:v>
      </x:c>
      <x:c r="E195" s="17" t="str">
        <x:v>Pago</x:v>
      </x:c>
      <x:c r="F195" s="17" t="str">
        <x:v>Regina Lucia Zamith</x:v>
      </x:c>
      <x:c r="G195" s="17" t="str">
        <x:v>Cartão de crédito</x:v>
      </x:c>
      <x:c r="H195" s="17" t="str">
        <x:v>2026-05-15 09:23:16</x:v>
      </x:c>
    </x:row>
    <x:row r="196" ht="15" hidden="0" customHeight="1">
      <x:c r="A196" s="17" t="n">
        <x:v>199</x:v>
      </x:c>
      <x:c r="B196" s="17" t="str">
        <x:v>OP-1128</x:v>
      </x:c>
      <x:c r="C196" s="17" t="str">
        <x:v>PAG-1097</x:v>
      </x:c>
      <x:c r="D196" s="21" t="n">
        <x:v>859.1</x:v>
      </x:c>
      <x:c r="E196" s="17" t="str">
        <x:v>Pago</x:v>
      </x:c>
      <x:c r="F196" s="17" t="str">
        <x:v>Ronaldo Rogeri</x:v>
      </x:c>
      <x:c r="G196" s="17" t="str">
        <x:v>Cartão de crédito</x:v>
      </x:c>
      <x:c r="H196" s="17" t="str">
        <x:v>2026-05-15 09:19:56</x:v>
      </x:c>
    </x:row>
    <x:row r="197" ht="15" hidden="0" customHeight="1">
      <x:c r="A197" s="17" t="n">
        <x:v>200</x:v>
      </x:c>
      <x:c r="B197" s="17" t="str">
        <x:v>OP-1129</x:v>
      </x:c>
      <x:c r="C197" s="17" t="str">
        <x:v>PAG-1096</x:v>
      </x:c>
      <x:c r="D197" s="21" t="n">
        <x:v>859.1</x:v>
      </x:c>
      <x:c r="E197" s="17" t="str">
        <x:v>Pago</x:v>
      </x:c>
      <x:c r="F197" s="17" t="str">
        <x:v>William G. Silva</x:v>
      </x:c>
      <x:c r="G197" s="17" t="str">
        <x:v>Cartão de crédito</x:v>
      </x:c>
      <x:c r="H197" s="17" t="str">
        <x:v>2026-05-15 09:16:28</x:v>
      </x:c>
    </x:row>
    <x:row r="198" ht="15" hidden="0" customHeight="1">
      <x:c r="A198" s="17" t="n">
        <x:v>201</x:v>
      </x:c>
      <x:c r="B198" s="17" t="str">
        <x:v>OP-1127</x:v>
      </x:c>
      <x:c r="C198" s="17" t="str">
        <x:v>PAG-1095</x:v>
      </x:c>
      <x:c r="D198" s="21" t="n">
        <x:v>859.1</x:v>
      </x:c>
      <x:c r="E198" s="17" t="str">
        <x:v>Pago</x:v>
      </x:c>
      <x:c r="F198" s="17" t="str">
        <x:v>Carlos Mourao</x:v>
      </x:c>
      <x:c r="G198" s="17" t="str">
        <x:v>Cartão de crédito</x:v>
      </x:c>
      <x:c r="H198" s="17" t="str">
        <x:v>2026-05-15 09:15:46</x:v>
      </x:c>
    </x:row>
    <x:row r="199" ht="15" hidden="0" customHeight="1">
      <x:c r="A199" s="17" t="n">
        <x:v>202</x:v>
      </x:c>
      <x:c r="B199" s="17" t="str">
        <x:v>OP-1114</x:v>
      </x:c>
      <x:c r="C199" s="17" t="str">
        <x:v>PAG-1094</x:v>
      </x:c>
      <x:c r="D199" s="21" t="n">
        <x:v>859.1</x:v>
      </x:c>
      <x:c r="E199" s="17" t="str">
        <x:v>Pago</x:v>
      </x:c>
      <x:c r="F199" s="17" t="str">
        <x:v>Francisco Neto</x:v>
      </x:c>
      <x:c r="G199" s="17" t="str">
        <x:v>Cartão de crédito</x:v>
      </x:c>
      <x:c r="H199" s="17" t="str">
        <x:v>2026-05-15 09:04:44</x:v>
      </x:c>
    </x:row>
    <x:row r="200" ht="15" hidden="0" customHeight="1">
      <x:c r="A200" s="17" t="n">
        <x:v>203</x:v>
      </x:c>
      <x:c r="B200" s="17" t="str">
        <x:v>OP-1126</x:v>
      </x:c>
      <x:c r="C200" s="17" t="str">
        <x:v>PAG-1093</x:v>
      </x:c>
      <x:c r="D200" s="21" t="n">
        <x:v>1050.72</x:v>
      </x:c>
      <x:c r="E200" s="17" t="str">
        <x:v>Pago</x:v>
      </x:c>
      <x:c r="F200" s="17" t="str">
        <x:v>Marcos Vinicius dos Santos</x:v>
      </x:c>
      <x:c r="G200" s="17" t="str">
        <x:v>Cartão de crédito</x:v>
      </x:c>
      <x:c r="H200" s="17" t="str">
        <x:v>2026-05-15 09:04:12</x:v>
      </x:c>
    </x:row>
    <x:row r="201" ht="15" hidden="0" customHeight="1">
      <x:c r="A201" s="17" t="n">
        <x:v>204</x:v>
      </x:c>
      <x:c r="B201" s="17" t="str">
        <x:v>OP-1121</x:v>
      </x:c>
      <x:c r="C201" s="17" t="str">
        <x:v>PAG-1091</x:v>
      </x:c>
      <x:c r="D201" s="21" t="n">
        <x:v>765.66</x:v>
      </x:c>
      <x:c r="E201" s="17" t="str">
        <x:v>Pago</x:v>
      </x:c>
      <x:c r="F201" s="17" t="str">
        <x:v>Paulo Gregório Borba</x:v>
      </x:c>
      <x:c r="G201" s="17" t="str">
        <x:v>Cartão de crédito</x:v>
      </x:c>
      <x:c r="H201" s="17" t="str">
        <x:v>2026-05-14 14:17:20</x:v>
      </x:c>
    </x:row>
    <x:row r="202" ht="15" hidden="0" customHeight="1">
      <x:c r="A202" s="17" t="n">
        <x:v>205</x:v>
      </x:c>
      <x:c r="B202" s="17" t="str">
        <x:v>OP-1115</x:v>
      </x:c>
      <x:c r="C202" s="17" t="str">
        <x:v>PAG-1087</x:v>
      </x:c>
      <x:c r="D202" s="21" t="n">
        <x:v>1204.86</x:v>
      </x:c>
      <x:c r="E202" s="17" t="str">
        <x:v>Pago</x:v>
      </x:c>
      <x:c r="F202" s="17" t="str">
        <x:v>José Francisco Leonelli Júnior</x:v>
      </x:c>
      <x:c r="G202" s="17" t="str">
        <x:v>Cartão de crédito</x:v>
      </x:c>
      <x:c r="H202" s="17" t="str">
        <x:v>2026-05-13 16:31:46</x:v>
      </x:c>
    </x:row>
    <x:row r="203" ht="15" hidden="0" customHeight="1">
      <x:c r="A203" s="17" t="n">
        <x:v>206</x:v>
      </x:c>
      <x:c r="B203" s="17" t="str">
        <x:v>OP-1120</x:v>
      </x:c>
      <x:c r="C203" s="17" t="str">
        <x:v>PAG-1086</x:v>
      </x:c>
      <x:c r="D203" s="21" t="n">
        <x:v>1513.78</x:v>
      </x:c>
      <x:c r="E203" s="17" t="str">
        <x:v>Pago</x:v>
      </x:c>
      <x:c r="F203" s="17" t="str">
        <x:v>Fernanda Silvestre</x:v>
      </x:c>
      <x:c r="G203" s="17" t="str">
        <x:v>Cartão de crédito</x:v>
      </x:c>
      <x:c r="H203" s="17" t="str">
        <x:v>2026-05-12 16:40:28</x:v>
      </x:c>
    </x:row>
    <x:row r="204" ht="15" hidden="0" customHeight="1">
      <x:c r="A204" s="17" t="n">
        <x:v>207</x:v>
      </x:c>
      <x:c r="B204" s="17" t="str">
        <x:v>OP-1118</x:v>
      </x:c>
      <x:c r="C204" s="17" t="str">
        <x:v>PAG-1085</x:v>
      </x:c>
      <x:c r="D204" s="21" t="n">
        <x:v>1116.84</x:v>
      </x:c>
      <x:c r="E204" s="17" t="str">
        <x:v>Pago</x:v>
      </x:c>
      <x:c r="F204" s="17" t="str">
        <x:v>William Fuhrmeister</x:v>
      </x:c>
      <x:c r="G204" s="17" t="str">
        <x:v>Cartão de crédito</x:v>
      </x:c>
      <x:c r="H204" s="17" t="str">
        <x:v>2026-05-12 14:06:36</x:v>
      </x:c>
    </x:row>
    <x:row r="205" ht="15" hidden="0" customHeight="1">
      <x:c r="A205" s="17" t="n">
        <x:v>208</x:v>
      </x:c>
      <x:c r="B205" s="17" t="str">
        <x:v>OP-1103</x:v>
      </x:c>
      <x:c r="C205" s="17" t="str">
        <x:v>PAG-1084</x:v>
      </x:c>
      <x:c r="D205" s="21" t="n">
        <x:v>3171.99</x:v>
      </x:c>
      <x:c r="E205" s="17" t="str">
        <x:v>Pago</x:v>
      </x:c>
      <x:c r="F205" s="17" t="str">
        <x:v>Janice Bequette</x:v>
      </x:c>
      <x:c r="G205" s="17" t="str">
        <x:v>Cartão de crédito</x:v>
      </x:c>
      <x:c r="H205" s="17" t="str">
        <x:v>2026-05-12 10:46:13</x:v>
      </x:c>
    </x:row>
    <x:row r="206" ht="15" hidden="0" customHeight="1">
      <x:c r="A206" s="17" t="n">
        <x:v>209</x:v>
      </x:c>
      <x:c r="B206" s="17" t="str">
        <x:v>OP-1116</x:v>
      </x:c>
      <x:c r="C206" s="17" t="str">
        <x:v>PAG-1083</x:v>
      </x:c>
      <x:c r="D206" s="21" t="n">
        <x:v>1289.86</x:v>
      </x:c>
      <x:c r="E206" s="17" t="str">
        <x:v>Pago</x:v>
      </x:c>
      <x:c r="F206" s="17" t="str">
        <x:v>Poliana Brandão</x:v>
      </x:c>
      <x:c r="G206" s="17" t="str">
        <x:v>Cartão de crédito</x:v>
      </x:c>
      <x:c r="H206" s="17" t="str">
        <x:v>2026-05-11 14:23:32</x:v>
      </x:c>
    </x:row>
    <x:row r="207" ht="15" hidden="0" customHeight="1">
      <x:c r="A207" s="17" t="n">
        <x:v>210</x:v>
      </x:c>
      <x:c r="B207" s="17" t="str">
        <x:v>OP-1113</x:v>
      </x:c>
      <x:c r="C207" s="17" t="str">
        <x:v>PAG-1081</x:v>
      </x:c>
      <x:c r="D207" s="21" t="n">
        <x:v>859.1</x:v>
      </x:c>
      <x:c r="E207" s="17" t="str">
        <x:v>Pago</x:v>
      </x:c>
      <x:c r="F207" s="17" t="str">
        <x:v>Raphaella Fusita Bernardini</x:v>
      </x:c>
      <x:c r="G207" s="17" t="str">
        <x:v>Cartão de crédito</x:v>
      </x:c>
      <x:c r="H207" s="17" t="str">
        <x:v>2026-05-11 10:01:02</x:v>
      </x:c>
    </x:row>
    <x:row r="208" ht="15" hidden="0" customHeight="1">
      <x:c r="A208" s="17" t="n">
        <x:v>211</x:v>
      </x:c>
      <x:c r="B208" s="17" t="str">
        <x:v>OP-1112</x:v>
      </x:c>
      <x:c r="C208" s="17" t="str">
        <x:v>PAG-1080</x:v>
      </x:c>
      <x:c r="D208" s="21" t="n">
        <x:v>859.1</x:v>
      </x:c>
      <x:c r="E208" s="17" t="str">
        <x:v>Pago</x:v>
      </x:c>
      <x:c r="F208" s="17" t="str">
        <x:v>Fabio Carvalho</x:v>
      </x:c>
      <x:c r="G208" s="17" t="str">
        <x:v>Cartão de crédito</x:v>
      </x:c>
      <x:c r="H208" s="17" t="str">
        <x:v>2026-05-11 09:54:54</x:v>
      </x:c>
    </x:row>
    <x:row r="209" ht="15" hidden="0" customHeight="1">
      <x:c r="A209" s="17" t="n">
        <x:v>212</x:v>
      </x:c>
      <x:c r="B209" s="17" t="str">
        <x:v>OP-1111</x:v>
      </x:c>
      <x:c r="C209" s="17" t="str">
        <x:v>PAG-1078</x:v>
      </x:c>
      <x:c r="D209" s="21" t="n">
        <x:v>859.1</x:v>
      </x:c>
      <x:c r="E209" s="17" t="str">
        <x:v>Pago</x:v>
      </x:c>
      <x:c r="F209" s="17" t="str">
        <x:v>Fabio Truffa</x:v>
      </x:c>
      <x:c r="G209" s="17" t="str">
        <x:v>Cartão de crédito</x:v>
      </x:c>
      <x:c r="H209" s="17" t="str">
        <x:v>2026-05-11 09:40:53</x:v>
      </x:c>
    </x:row>
    <x:row r="210" ht="15" hidden="0" customHeight="1">
      <x:c r="A210" s="17" t="n">
        <x:v>213</x:v>
      </x:c>
      <x:c r="B210" s="17" t="str">
        <x:v>OP-1110</x:v>
      </x:c>
      <x:c r="C210" s="17" t="str">
        <x:v>PAG-1077</x:v>
      </x:c>
      <x:c r="D210" s="21" t="n">
        <x:v>685.87</x:v>
      </x:c>
      <x:c r="E210" s="17" t="str">
        <x:v>Pago</x:v>
      </x:c>
      <x:c r="F210" s="17" t="str">
        <x:v>Cesar Augusto Peixoto Lima</x:v>
      </x:c>
      <x:c r="G210" s="17" t="str">
        <x:v>Cartão de crédito</x:v>
      </x:c>
      <x:c r="H210" s="17" t="str">
        <x:v>2026-05-11 09:21:04</x:v>
      </x:c>
    </x:row>
    <x:row r="211" ht="15" hidden="0" customHeight="1">
      <x:c r="A211" s="17" t="n">
        <x:v>214</x:v>
      </x:c>
      <x:c r="B211" s="17" t="str">
        <x:v>OP-1110</x:v>
      </x:c>
      <x:c r="C211" s="17" t="str">
        <x:v>PAG-1076</x:v>
      </x:c>
      <x:c r="D211" s="21" t="n">
        <x:v>685.87</x:v>
      </x:c>
      <x:c r="E211" s="17" t="str">
        <x:v>Pago</x:v>
      </x:c>
      <x:c r="F211" s="17" t="str">
        <x:v>Giulia do Lago</x:v>
      </x:c>
      <x:c r="G211" s="17" t="str">
        <x:v>Cartão de crédito</x:v>
      </x:c>
      <x:c r="H211" s="17" t="str">
        <x:v>2026-05-11 09:20:58</x:v>
      </x:c>
    </x:row>
    <x:row r="212" ht="15" hidden="0" customHeight="1">
      <x:c r="A212" s="17" t="n">
        <x:v>215</x:v>
      </x:c>
      <x:c r="B212" s="17" t="str">
        <x:v>OP-1107</x:v>
      </x:c>
      <x:c r="C212" s="17" t="str">
        <x:v>PAG-1075</x:v>
      </x:c>
      <x:c r="D212" s="21" t="n">
        <x:v>952.96</x:v>
      </x:c>
      <x:c r="E212" s="17" t="str">
        <x:v>Pago</x:v>
      </x:c>
      <x:c r="F212" s="17" t="str">
        <x:v>Eveline Chicaroni</x:v>
      </x:c>
      <x:c r="G212" s="17" t="str">
        <x:v>Cartão de crédito</x:v>
      </x:c>
      <x:c r="H212" s="17" t="str">
        <x:v>2026-05-11 09:03:21</x:v>
      </x:c>
    </x:row>
    <x:row r="213" ht="15" hidden="0" customHeight="1">
      <x:c r="A213" s="17" t="n">
        <x:v>216</x:v>
      </x:c>
      <x:c r="B213" s="17" t="str">
        <x:v>OP-1109</x:v>
      </x:c>
      <x:c r="C213" s="17" t="str">
        <x:v>PAG-1074</x:v>
      </x:c>
      <x:c r="D213" s="21" t="n">
        <x:v>1110.6</x:v>
      </x:c>
      <x:c r="E213" s="17" t="str">
        <x:v>Pago</x:v>
      </x:c>
      <x:c r="F213" s="17" t="str">
        <x:v>Cinthia Oliveira</x:v>
      </x:c>
      <x:c r="G213" s="17" t="str">
        <x:v>Cartão de crédito</x:v>
      </x:c>
      <x:c r="H213" s="17" t="str">
        <x:v>2026-05-11 09:02:58</x:v>
      </x:c>
    </x:row>
    <x:row r="214" ht="15" hidden="0" customHeight="1">
      <x:c r="A214" s="17" t="n">
        <x:v>217</x:v>
      </x:c>
      <x:c r="B214" s="17" t="str">
        <x:v>OP-1105</x:v>
      </x:c>
      <x:c r="C214" s="17" t="str">
        <x:v>PAG-1072</x:v>
      </x:c>
      <x:c r="D214" s="21" t="n">
        <x:v>925</x:v>
      </x:c>
      <x:c r="E214" s="17" t="str">
        <x:v>Pago</x:v>
      </x:c>
      <x:c r="F214" s="17" t="str">
        <x:v>Michael Richardson Bach</x:v>
      </x:c>
      <x:c r="G214" s="17" t="str">
        <x:v>Cartão de crédito</x:v>
      </x:c>
      <x:c r="H214" s="17" t="str">
        <x:v>2026-05-08 13:30:05</x:v>
      </x:c>
    </x:row>
    <x:row r="215" ht="15" hidden="0" customHeight="1">
      <x:c r="A215" s="17" t="n">
        <x:v>218</x:v>
      </x:c>
      <x:c r="B215" s="17" t="str">
        <x:v>OP-1104</x:v>
      </x:c>
      <x:c r="C215" s="17" t="str">
        <x:v>PAG-1070</x:v>
      </x:c>
      <x:c r="D215" s="21" t="n">
        <x:v>811.76</x:v>
      </x:c>
      <x:c r="E215" s="17" t="str">
        <x:v>Pago</x:v>
      </x:c>
      <x:c r="F215" s="17" t="str">
        <x:v>Rafael Garcia</x:v>
      </x:c>
      <x:c r="G215" s="17" t="str">
        <x:v>Cartão de crédito</x:v>
      </x:c>
      <x:c r="H215" s="17" t="str">
        <x:v>2026-05-08 13:24:33</x:v>
      </x:c>
    </x:row>
    <x:row r="216" ht="15" hidden="0" customHeight="1">
      <x:c r="A216" s="17" t="n">
        <x:v>219</x:v>
      </x:c>
      <x:c r="B216" s="17" t="str">
        <x:v>OP-1104</x:v>
      </x:c>
      <x:c r="C216" s="17" t="str">
        <x:v>PAG-1071</x:v>
      </x:c>
      <x:c r="D216" s="21" t="n">
        <x:v>811.76</x:v>
      </x:c>
      <x:c r="E216" s="17" t="str">
        <x:v>Pago</x:v>
      </x:c>
      <x:c r="F216" s="17" t="str">
        <x:v>Margarita Marti-Lopez</x:v>
      </x:c>
      <x:c r="G216" s="17" t="str">
        <x:v>Cartão de crédito</x:v>
      </x:c>
      <x:c r="H216" s="17" t="str">
        <x:v>2026-05-08 13:24:33</x:v>
      </x:c>
    </x:row>
    <x:row r="217" ht="15" hidden="0" customHeight="1">
      <x:c r="A217" s="17" t="n">
        <x:v>220</x:v>
      </x:c>
      <x:c r="B217" s="17" t="str">
        <x:v>OP-1104</x:v>
      </x:c>
      <x:c r="C217" s="17" t="str">
        <x:v>PAG-1069</x:v>
      </x:c>
      <x:c r="D217" s="21" t="n">
        <x:v>811.76</x:v>
      </x:c>
      <x:c r="E217" s="17" t="str">
        <x:v>Pago</x:v>
      </x:c>
      <x:c r="F217" s="17" t="str">
        <x:v>Carlos Flores</x:v>
      </x:c>
      <x:c r="G217" s="17" t="str">
        <x:v>Cartão de crédito</x:v>
      </x:c>
      <x:c r="H217" s="17" t="str">
        <x:v>2026-05-08 13:24:32</x:v>
      </x:c>
    </x:row>
    <x:row r="218" ht="15" hidden="0" customHeight="1">
      <x:c r="A218" s="17" t="n">
        <x:v>221</x:v>
      </x:c>
      <x:c r="B218" s="17" t="str">
        <x:v>OP-1100</x:v>
      </x:c>
      <x:c r="C218" s="17" t="str">
        <x:v>PAG-1068</x:v>
      </x:c>
      <x:c r="D218" s="21" t="n">
        <x:v>16446.82</x:v>
      </x:c>
      <x:c r="E218" s="17" t="str">
        <x:v>Pago</x:v>
      </x:c>
      <x:c r="F218" s="17" t="str">
        <x:v>Étienne Lord</x:v>
      </x:c>
      <x:c r="G218" s="17" t="str">
        <x:v>Cartão de crédito</x:v>
      </x:c>
      <x:c r="H218" s="17" t="str">
        <x:v>2026-05-08 11:11:07</x:v>
      </x:c>
    </x:row>
    <x:row r="219" ht="15" hidden="0" customHeight="1">
      <x:c r="A219" s="17" t="n">
        <x:v>222</x:v>
      </x:c>
      <x:c r="B219" s="17" t="str">
        <x:v>OP-1102</x:v>
      </x:c>
      <x:c r="C219" s="17" t="str">
        <x:v>PAG-1066</x:v>
      </x:c>
      <x:c r="D219" s="21" t="n">
        <x:v>2530.8</x:v>
      </x:c>
      <x:c r="E219" s="17" t="str">
        <x:v>Pago</x:v>
      </x:c>
      <x:c r="F219" s="17" t="str">
        <x:v>Juan Carlos Muñoz Gonzales</x:v>
      </x:c>
      <x:c r="G219" s="17" t="str">
        <x:v>Cartão de crédito</x:v>
      </x:c>
      <x:c r="H219" s="17" t="str">
        <x:v>2026-05-08 10:49:42</x:v>
      </x:c>
    </x:row>
    <x:row r="220" ht="15" hidden="0" customHeight="1">
      <x:c r="A220" s="17" t="n">
        <x:v>223</x:v>
      </x:c>
      <x:c r="B220" s="17" t="str">
        <x:v>OP-1101</x:v>
      </x:c>
      <x:c r="C220" s="17" t="str">
        <x:v>PAG-1064</x:v>
      </x:c>
      <x:c r="D220" s="21" t="n">
        <x:v>925</x:v>
      </x:c>
      <x:c r="E220" s="17" t="str">
        <x:v>Pago</x:v>
      </x:c>
      <x:c r="F220" s="17" t="str">
        <x:v>Carlos Balieiro</x:v>
      </x:c>
      <x:c r="G220" s="17" t="str">
        <x:v>Cartão de crédito</x:v>
      </x:c>
      <x:c r="H220" s="17" t="str">
        <x:v>2026-05-08 09:23:53</x:v>
      </x:c>
    </x:row>
    <x:row r="221" ht="15" hidden="0" customHeight="1">
      <x:c r="A221" s="17" t="n">
        <x:v>224</x:v>
      </x:c>
      <x:c r="B221" s="17" t="str">
        <x:v>OP-1099</x:v>
      </x:c>
      <x:c r="C221" s="17" t="str">
        <x:v>PAG-1060</x:v>
      </x:c>
      <x:c r="D221" s="21" t="n">
        <x:v>13508.3</x:v>
      </x:c>
      <x:c r="E221" s="17" t="str">
        <x:v>Pago</x:v>
      </x:c>
      <x:c r="F221" s="17" t="str">
        <x:v>Nicole DiSanto</x:v>
      </x:c>
      <x:c r="G221" s="17" t="str">
        <x:v>Cartão de crédito</x:v>
      </x:c>
      <x:c r="H221" s="17" t="str">
        <x:v>2026-05-07 10:28:46</x:v>
      </x:c>
    </x:row>
    <x:row r="222" ht="15" hidden="0" customHeight="1">
      <x:c r="A222" s="17" t="n">
        <x:v>225</x:v>
      </x:c>
      <x:c r="B222" s="17" t="str">
        <x:v>OP-1097</x:v>
      </x:c>
      <x:c r="C222" s="17" t="str">
        <x:v>PAG-1059</x:v>
      </x:c>
      <x:c r="D222" s="21" t="n">
        <x:v>1050.72</x:v>
      </x:c>
      <x:c r="E222" s="17" t="str">
        <x:v>Pago</x:v>
      </x:c>
      <x:c r="F222" s="17" t="str">
        <x:v>Sissi Pagnoca</x:v>
      </x:c>
      <x:c r="G222" s="17" t="str">
        <x:v>Cartão de crédito</x:v>
      </x:c>
      <x:c r="H222" s="17" t="str">
        <x:v>2026-05-05 13:44:31</x:v>
      </x:c>
    </x:row>
    <x:row r="223" ht="15" hidden="0" customHeight="1">
      <x:c r="A223" s="17" t="n">
        <x:v>226</x:v>
      </x:c>
      <x:c r="B223" s="17" t="str">
        <x:v>OP-1096</x:v>
      </x:c>
      <x:c r="C223" s="17" t="str">
        <x:v>PAG-1058</x:v>
      </x:c>
      <x:c r="D223" s="21" t="n">
        <x:v>958.94</x:v>
      </x:c>
      <x:c r="E223" s="17" t="str">
        <x:v>Pago</x:v>
      </x:c>
      <x:c r="F223" s="17" t="str">
        <x:v>Leandro Leite</x:v>
      </x:c>
      <x:c r="G223" s="17" t="str">
        <x:v>Cartão de crédito</x:v>
      </x:c>
      <x:c r="H223" s="17" t="str">
        <x:v>2026-05-05 09:21:06</x:v>
      </x:c>
    </x:row>
    <x:row r="224" ht="15" hidden="0" customHeight="1">
      <x:c r="A224" s="17" t="n">
        <x:v>227</x:v>
      </x:c>
      <x:c r="B224" s="17" t="str">
        <x:v>OP-1095</x:v>
      </x:c>
      <x:c r="C224" s="17" t="str">
        <x:v>PAG-1057</x:v>
      </x:c>
      <x:c r="D224" s="21" t="n">
        <x:v>1163.66</x:v>
      </x:c>
      <x:c r="E224" s="17" t="str">
        <x:v>Pago</x:v>
      </x:c>
      <x:c r="F224" s="17" t="str">
        <x:v>Mariana de Souza Bittencourt de Carvalho </x:v>
      </x:c>
      <x:c r="G224" s="17" t="str">
        <x:v>Cartão de crédito</x:v>
      </x:c>
      <x:c r="H224" s="17" t="str">
        <x:v>2026-05-05 08:38:10</x:v>
      </x:c>
    </x:row>
    <x:row r="225" ht="15" hidden="0" customHeight="1">
      <x:c r="A225" s="17" t="n">
        <x:v>228</x:v>
      </x:c>
      <x:c r="B225" s="17" t="str">
        <x:v>OP-1094</x:v>
      </x:c>
      <x:c r="C225" s="17" t="str">
        <x:v>PAG-1056</x:v>
      </x:c>
      <x:c r="D225" s="21" t="n">
        <x:v>859.1</x:v>
      </x:c>
      <x:c r="E225" s="17" t="str">
        <x:v>Pago</x:v>
      </x:c>
      <x:c r="F225" s="17" t="str">
        <x:v>Mario Henrique Voigt Stumpf</x:v>
      </x:c>
      <x:c r="G225" s="17" t="str">
        <x:v>Cartão de crédito</x:v>
      </x:c>
      <x:c r="H225" s="17" t="str">
        <x:v>2026-05-04 16:38:26</x:v>
      </x:c>
    </x:row>
    <x:row r="226" ht="15" hidden="0" customHeight="1">
      <x:c r="A226" s="17" t="n">
        <x:v>229</x:v>
      </x:c>
      <x:c r="B226" s="17" t="str">
        <x:v>OP-1093</x:v>
      </x:c>
      <x:c r="C226" s="17" t="str">
        <x:v>PAG-1055</x:v>
      </x:c>
      <x:c r="D226" s="21" t="n">
        <x:v>859.1</x:v>
      </x:c>
      <x:c r="E226" s="17" t="str">
        <x:v>Pago</x:v>
      </x:c>
      <x:c r="F226" s="17" t="str">
        <x:v>Vinicius Mancini </x:v>
      </x:c>
      <x:c r="G226" s="17" t="str">
        <x:v>Cartão de crédito</x:v>
      </x:c>
      <x:c r="H226" s="17" t="str">
        <x:v>2026-05-04 16:10:22</x:v>
      </x:c>
    </x:row>
    <x:row r="227" ht="15" hidden="0" customHeight="1">
      <x:c r="A227" s="17" t="n">
        <x:v>230</x:v>
      </x:c>
      <x:c r="B227" s="17" t="str">
        <x:v>OP-1090</x:v>
      </x:c>
      <x:c r="C227" s="17" t="str">
        <x:v>PAG-1054</x:v>
      </x:c>
      <x:c r="D227" s="21" t="n">
        <x:v>669.37</x:v>
      </x:c>
      <x:c r="E227" s="17" t="str">
        <x:v>Pago</x:v>
      </x:c>
      <x:c r="F227" s="17" t="str">
        <x:v>Beatriz da Rocha Teixeira</x:v>
      </x:c>
      <x:c r="G227" s="17" t="str">
        <x:v>Cartão de crédito</x:v>
      </x:c>
      <x:c r="H227" s="17" t="str">
        <x:v>2026-04-30 15:10:30</x:v>
      </x:c>
    </x:row>
    <x:row r="228" ht="15" hidden="0" customHeight="1">
      <x:c r="A228" s="17" t="n">
        <x:v>231</x:v>
      </x:c>
      <x:c r="B228" s="17" t="str">
        <x:v>OP-1089</x:v>
      </x:c>
      <x:c r="C228" s="17" t="str">
        <x:v>PAG-1053</x:v>
      </x:c>
      <x:c r="D228" s="21" t="n">
        <x:v>1060.41</x:v>
      </x:c>
      <x:c r="E228" s="17" t="str">
        <x:v>Pago</x:v>
      </x:c>
      <x:c r="F228" s="17" t="str">
        <x:v>Nilson Chaib</x:v>
      </x:c>
      <x:c r="G228" s="17" t="str">
        <x:v>Cartão de crédito</x:v>
      </x:c>
      <x:c r="H228" s="17" t="str">
        <x:v>2026-04-29 16:12:22</x:v>
      </x:c>
    </x:row>
    <x:row r="229" ht="15" hidden="0" customHeight="1">
      <x:c r="A229" s="17" t="n">
        <x:v>232</x:v>
      </x:c>
      <x:c r="B229" s="17" t="str">
        <x:v>OP-1087</x:v>
      </x:c>
      <x:c r="C229" s="17" t="str">
        <x:v>PAG-1052</x:v>
      </x:c>
      <x:c r="D229" s="21" t="n">
        <x:v>2071.25</x:v>
      </x:c>
      <x:c r="E229" s="17" t="str">
        <x:v>Pago</x:v>
      </x:c>
      <x:c r="F229" s="17" t="str">
        <x:v>Abe Millet</x:v>
      </x:c>
      <x:c r="G229" s="17" t="str">
        <x:v>Pedido de compra</x:v>
      </x:c>
      <x:c r="H229" s="17" t="str">
        <x:v>2026-04-28 16:45:39</x:v>
      </x:c>
    </x:row>
    <x:row r="230" ht="15" hidden="0" customHeight="1">
      <x:c r="A230" s="17" t="n">
        <x:v>233</x:v>
      </x:c>
      <x:c r="B230" s="17" t="str">
        <x:v>OP-1085</x:v>
      </x:c>
      <x:c r="C230" s="17" t="str">
        <x:v>PAG-1051</x:v>
      </x:c>
      <x:c r="D230" s="21" t="n">
        <x:v>859.1</x:v>
      </x:c>
      <x:c r="E230" s="17" t="str">
        <x:v>Pago</x:v>
      </x:c>
      <x:c r="F230" s="17" t="str">
        <x:v>Heitor Augusto Carneiro de Almeida</x:v>
      </x:c>
      <x:c r="G230" s="17" t="str">
        <x:v>Cartão de crédito</x:v>
      </x:c>
      <x:c r="H230" s="17" t="str">
        <x:v>2026-04-28 14:03:39</x:v>
      </x:c>
    </x:row>
    <x:row r="231" ht="15" hidden="0" customHeight="1">
      <x:c r="A231" s="17" t="n">
        <x:v>234</x:v>
      </x:c>
      <x:c r="B231" s="17" t="str">
        <x:v>OP-1084</x:v>
      </x:c>
      <x:c r="C231" s="17" t="str">
        <x:v>PAG-1050</x:v>
      </x:c>
      <x:c r="D231" s="21" t="n">
        <x:v>442.98</x:v>
      </x:c>
      <x:c r="E231" s="17" t="str">
        <x:v>Pago</x:v>
      </x:c>
      <x:c r="F231" s="17" t="str">
        <x:v>Carolina Huang</x:v>
      </x:c>
      <x:c r="G231" s="17" t="str">
        <x:v>Cartão de crédito</x:v>
      </x:c>
      <x:c r="H231" s="17" t="str">
        <x:v>2026-04-28 13:53:33</x:v>
      </x:c>
    </x:row>
    <x:row r="232" ht="15" hidden="0" customHeight="1">
      <x:c r="A232" s="17" t="n">
        <x:v>235</x:v>
      </x:c>
      <x:c r="B232" s="17" t="str">
        <x:v>OP-1081</x:v>
      </x:c>
      <x:c r="C232" s="17" t="str">
        <x:v>PAG-1049</x:v>
      </x:c>
      <x:c r="D232" s="21" t="n">
        <x:v>3573.12</x:v>
      </x:c>
      <x:c r="E232" s="17" t="str">
        <x:v>Pago</x:v>
      </x:c>
      <x:c r="F232" s="17" t="str">
        <x:v>Alvadi Serpa Junior</x:v>
      </x:c>
      <x:c r="G232" s="17" t="str">
        <x:v>Cartão de crédito</x:v>
      </x:c>
      <x:c r="H232" s="17" t="str">
        <x:v>2026-04-27 15:26:53</x:v>
      </x:c>
    </x:row>
    <x:row r="233" ht="15" hidden="0" customHeight="1">
      <x:c r="A233" s="17" t="n">
        <x:v>236</x:v>
      </x:c>
      <x:c r="B233" s="17" t="str">
        <x:v>OP-1080</x:v>
      </x:c>
      <x:c r="C233" s="17" t="str">
        <x:v>PAG-1048</x:v>
      </x:c>
      <x:c r="D233" s="21" t="n">
        <x:v>1762.95</x:v>
      </x:c>
      <x:c r="E233" s="17" t="str">
        <x:v>Pago</x:v>
      </x:c>
      <x:c r="F233" s="17" t="str">
        <x:v>Leonardo Fazan</x:v>
      </x:c>
      <x:c r="G233" s="17" t="str">
        <x:v>Cartão de crédito</x:v>
      </x:c>
      <x:c r="H233" s="17" t="str">
        <x:v>2026-04-27 10:41:18</x:v>
      </x:c>
    </x:row>
    <x:row r="234" ht="15" hidden="0" customHeight="1">
      <x:c r="A234" s="17" t="n">
        <x:v>237</x:v>
      </x:c>
      <x:c r="B234" s="17" t="str">
        <x:v>OP-1079</x:v>
      </x:c>
      <x:c r="C234" s="17" t="str">
        <x:v>PAG-1047</x:v>
      </x:c>
      <x:c r="D234" s="21" t="n">
        <x:v>1395.94</x:v>
      </x:c>
      <x:c r="E234" s="17" t="str">
        <x:v>Pago</x:v>
      </x:c>
      <x:c r="F234" s="17" t="str">
        <x:v>Thiago Alves</x:v>
      </x:c>
      <x:c r="G234" s="17" t="str">
        <x:v>Cartão de crédito</x:v>
      </x:c>
      <x:c r="H234" s="17" t="str">
        <x:v>2026-04-27 10:29:04</x:v>
      </x:c>
    </x:row>
    <x:row r="235" ht="15" hidden="0" customHeight="1">
      <x:c r="A235" s="17" t="n">
        <x:v>238</x:v>
      </x:c>
      <x:c r="B235" s="17" t="str">
        <x:v>OP-1078</x:v>
      </x:c>
      <x:c r="C235" s="17" t="str">
        <x:v>PAG-1046</x:v>
      </x:c>
      <x:c r="D235" s="21" t="n">
        <x:v>952.96</x:v>
      </x:c>
      <x:c r="E235" s="17" t="str">
        <x:v>Pago</x:v>
      </x:c>
      <x:c r="F235" s="17" t="str">
        <x:v>Adriana Cristina Costa</x:v>
      </x:c>
      <x:c r="G235" s="17" t="str">
        <x:v>Cartão de crédito</x:v>
      </x:c>
      <x:c r="H235" s="17" t="str">
        <x:v>2026-04-27 10:13:45</x:v>
      </x:c>
    </x:row>
    <x:row r="236" ht="15" hidden="0" customHeight="1">
      <x:c r="A236" s="17" t="n">
        <x:v>239</x:v>
      </x:c>
      <x:c r="B236" s="17" t="str">
        <x:v>OP-1077</x:v>
      </x:c>
      <x:c r="C236" s="17" t="str">
        <x:v>PAG-1045</x:v>
      </x:c>
      <x:c r="D236" s="21" t="n">
        <x:v>1050.72</x:v>
      </x:c>
      <x:c r="E236" s="17" t="str">
        <x:v>Pago</x:v>
      </x:c>
      <x:c r="F236" s="17" t="str">
        <x:v>Paula Medici </x:v>
      </x:c>
      <x:c r="G236" s="17" t="str">
        <x:v>Cartão de crédito</x:v>
      </x:c>
      <x:c r="H236" s="17" t="str">
        <x:v>2026-04-27 10:09:32</x:v>
      </x:c>
    </x:row>
    <x:row r="237" ht="15" hidden="0" customHeight="1">
      <x:c r="A237" s="17" t="n">
        <x:v>240</x:v>
      </x:c>
      <x:c r="B237" s="17" t="str">
        <x:v>OP-1074</x:v>
      </x:c>
      <x:c r="C237" s="17" t="str">
        <x:v>PAG-1044</x:v>
      </x:c>
      <x:c r="D237" s="21" t="n">
        <x:v>859.1</x:v>
      </x:c>
      <x:c r="E237" s="17" t="str">
        <x:v>Pago</x:v>
      </x:c>
      <x:c r="F237" s="17" t="str">
        <x:v>Fernanda Silvestre</x:v>
      </x:c>
      <x:c r="G237" s="17" t="str">
        <x:v>Cartão de crédito</x:v>
      </x:c>
      <x:c r="H237" s="17" t="str">
        <x:v>2026-04-27 10:00:41</x:v>
      </x:c>
    </x:row>
    <x:row r="238" ht="15" hidden="0" customHeight="1">
      <x:c r="A238" s="17" t="n">
        <x:v>241</x:v>
      </x:c>
      <x:c r="B238" s="17" t="str">
        <x:v>OP-1073</x:v>
      </x:c>
      <x:c r="C238" s="17" t="str">
        <x:v>PAG-1043</x:v>
      </x:c>
      <x:c r="D238" s="21" t="n">
        <x:v>1113.47</x:v>
      </x:c>
      <x:c r="E238" s="17" t="str">
        <x:v>Pago</x:v>
      </x:c>
      <x:c r="F238" s="17" t="str">
        <x:v>Viviane Braga Alves Prado</x:v>
      </x:c>
      <x:c r="G238" s="17" t="str">
        <x:v>Cartão de crédito</x:v>
      </x:c>
      <x:c r="H238" s="17" t="str">
        <x:v>2026-04-27 09:18:21</x:v>
      </x:c>
    </x:row>
    <x:row r="239" ht="15" hidden="0" customHeight="1">
      <x:c r="A239" s="17" t="n">
        <x:v>242</x:v>
      </x:c>
      <x:c r="B239" s="17" t="str">
        <x:v>OP-1070</x:v>
      </x:c>
      <x:c r="C239" s="17" t="str">
        <x:v>PAG-1041</x:v>
      </x:c>
      <x:c r="D239" s="21" t="n">
        <x:v>624.18</x:v>
      </x:c>
      <x:c r="E239" s="17" t="str">
        <x:v>Pago</x:v>
      </x:c>
      <x:c r="F239" s="17" t="str">
        <x:v>Alberto Cardoso</x:v>
      </x:c>
      <x:c r="G239" s="17" t="str">
        <x:v>Cartão de crédito</x:v>
      </x:c>
      <x:c r="H239" s="17" t="str">
        <x:v>2026-04-24 15:00:18</x:v>
      </x:c>
    </x:row>
    <x:row r="240" ht="15" hidden="0" customHeight="1">
      <x:c r="A240" s="17" t="n">
        <x:v>243</x:v>
      </x:c>
      <x:c r="B240" s="17" t="str">
        <x:v>OP-1066</x:v>
      </x:c>
      <x:c r="C240" s="17" t="str">
        <x:v>PAG-1040</x:v>
      </x:c>
      <x:c r="D240" s="21" t="n">
        <x:v>593.44</x:v>
      </x:c>
      <x:c r="E240" s="17" t="str">
        <x:v>Pago</x:v>
      </x:c>
      <x:c r="F240" s="17" t="str">
        <x:v>Leticia Tostes</x:v>
      </x:c>
      <x:c r="G240" s="17" t="str">
        <x:v>Cartão de crédito</x:v>
      </x:c>
      <x:c r="H240" s="17" t="str">
        <x:v>2026-04-23 15:06:48</x:v>
      </x:c>
    </x:row>
    <x:row r="241" ht="15" hidden="0" customHeight="1">
      <x:c r="A241" s="17" t="n">
        <x:v>244</x:v>
      </x:c>
      <x:c r="B241" s="17" t="str">
        <x:v>OP-1066</x:v>
      </x:c>
      <x:c r="C241" s="17" t="str">
        <x:v>PAG-1039</x:v>
      </x:c>
      <x:c r="D241" s="21" t="n">
        <x:v>593.44</x:v>
      </x:c>
      <x:c r="E241" s="17" t="str">
        <x:v>Pago</x:v>
      </x:c>
      <x:c r="F241" s="17" t="str">
        <x:v>José Jairo Irineu</x:v>
      </x:c>
      <x:c r="G241" s="17" t="str">
        <x:v>Cartão de crédito</x:v>
      </x:c>
      <x:c r="H241" s="17" t="str">
        <x:v>2026-04-23 15:06:42</x:v>
      </x:c>
    </x:row>
    <x:row r="242" ht="15" hidden="0" customHeight="1">
      <x:c r="A242" s="17" t="n">
        <x:v>245</x:v>
      </x:c>
      <x:c r="B242" s="17" t="str">
        <x:v>OP-1066</x:v>
      </x:c>
      <x:c r="C242" s="17" t="str">
        <x:v>PAG-1038</x:v>
      </x:c>
      <x:c r="D242" s="21" t="n">
        <x:v>743.73</x:v>
      </x:c>
      <x:c r="E242" s="17" t="str">
        <x:v>Pago</x:v>
      </x:c>
      <x:c r="F242" s="17" t="str">
        <x:v>Viviane Lemes Castro</x:v>
      </x:c>
      <x:c r="G242" s="17" t="str">
        <x:v>Cartão de crédito</x:v>
      </x:c>
      <x:c r="H242" s="17" t="str">
        <x:v>2026-04-23 15:06:36</x:v>
      </x:c>
    </x:row>
    <x:row r="243" ht="15" hidden="0" customHeight="1">
      <x:c r="A243" s="17" t="n">
        <x:v>246</x:v>
      </x:c>
      <x:c r="B243" s="17" t="str">
        <x:v>OP-1064</x:v>
      </x:c>
      <x:c r="C243" s="17" t="str">
        <x:v>PAG-1037</x:v>
      </x:c>
      <x:c r="D243" s="21" t="n">
        <x:v>1675.27</x:v>
      </x:c>
      <x:c r="E243" s="17" t="str">
        <x:v>Pago</x:v>
      </x:c>
      <x:c r="F243" s="17" t="str">
        <x:v>Alberto Guerrero</x:v>
      </x:c>
      <x:c r="G243" s="17" t="str">
        <x:v>Cartão de crédito</x:v>
      </x:c>
      <x:c r="H243" s="17" t="str">
        <x:v>2026-04-23 13:54:52</x:v>
      </x:c>
    </x:row>
    <x:row r="244" ht="15" hidden="0" customHeight="1">
      <x:c r="A244" s="17" t="n">
        <x:v>247</x:v>
      </x:c>
      <x:c r="B244" s="17" t="str">
        <x:v>OP-1064</x:v>
      </x:c>
      <x:c r="C244" s="17" t="str">
        <x:v>PAG-1036</x:v>
      </x:c>
      <x:c r="D244" s="21" t="n">
        <x:v>744.09</x:v>
      </x:c>
      <x:c r="E244" s="17" t="str">
        <x:v>Pago</x:v>
      </x:c>
      <x:c r="F244" s="17" t="str">
        <x:v>Taylor Betz</x:v>
      </x:c>
      <x:c r="G244" s="17" t="str">
        <x:v>Cartão de crédito</x:v>
      </x:c>
      <x:c r="H244" s="17" t="str">
        <x:v>2026-04-23 13:54:49</x:v>
      </x:c>
    </x:row>
    <x:row r="245" ht="15" hidden="0" customHeight="1">
      <x:c r="A245" s="17" t="n">
        <x:v>248</x:v>
      </x:c>
      <x:c r="B245" s="17" t="str">
        <x:v>OP-1064</x:v>
      </x:c>
      <x:c r="C245" s="17" t="str">
        <x:v>PAG-1035</x:v>
      </x:c>
      <x:c r="D245" s="21" t="n">
        <x:v>744.09</x:v>
      </x:c>
      <x:c r="E245" s="17" t="str">
        <x:v>Pago</x:v>
      </x:c>
      <x:c r="F245" s="17" t="str">
        <x:v>Briam Drilling</x:v>
      </x:c>
      <x:c r="G245" s="17" t="str">
        <x:v>Cartão de crédito</x:v>
      </x:c>
      <x:c r="H245" s="17" t="str">
        <x:v>2026-04-23 13:54:46</x:v>
      </x:c>
    </x:row>
    <x:row r="246" ht="15" hidden="0" customHeight="1">
      <x:c r="A246" s="17" t="n">
        <x:v>249</x:v>
      </x:c>
      <x:c r="B246" s="17" t="str">
        <x:v>OP-1064</x:v>
      </x:c>
      <x:c r="C246" s="17" t="str">
        <x:v>PAG-1034</x:v>
      </x:c>
      <x:c r="D246" s="21" t="n">
        <x:v>744.09</x:v>
      </x:c>
      <x:c r="E246" s="17" t="str">
        <x:v>Pago</x:v>
      </x:c>
      <x:c r="F246" s="17" t="str">
        <x:v>Mike Ferran</x:v>
      </x:c>
      <x:c r="G246" s="17" t="str">
        <x:v>Cartão de crédito</x:v>
      </x:c>
      <x:c r="H246" s="17" t="str">
        <x:v>2026-04-23 13:54:42</x:v>
      </x:c>
    </x:row>
    <x:row r="247" ht="15" hidden="0" customHeight="1">
      <x:c r="A247" s="17" t="n">
        <x:v>250</x:v>
      </x:c>
      <x:c r="B247" s="17" t="str">
        <x:v>OP-1064</x:v>
      </x:c>
      <x:c r="C247" s="17" t="str">
        <x:v>PAG-1033</x:v>
      </x:c>
      <x:c r="D247" s="21" t="n">
        <x:v>1165.95</x:v>
      </x:c>
      <x:c r="E247" s="17" t="str">
        <x:v>Pago</x:v>
      </x:c>
      <x:c r="F247" s="17" t="str">
        <x:v>Reagan Doerstling</x:v>
      </x:c>
      <x:c r="G247" s="17" t="str">
        <x:v>Cartão de crédito</x:v>
      </x:c>
      <x:c r="H247" s="17" t="str">
        <x:v>2026-04-23 13:54:36</x:v>
      </x:c>
    </x:row>
    <x:row r="248" ht="15" hidden="0" customHeight="1">
      <x:c r="A248" s="17" t="n">
        <x:v>251</x:v>
      </x:c>
      <x:c r="B248" s="17" t="str">
        <x:v>OP-1063</x:v>
      </x:c>
      <x:c r="C248" s="17" t="str">
        <x:v>PAG-1032</x:v>
      </x:c>
      <x:c r="D248" s="21" t="n">
        <x:v>952.96</x:v>
      </x:c>
      <x:c r="E248" s="17" t="str">
        <x:v>Pago</x:v>
      </x:c>
      <x:c r="F248" s="17" t="str">
        <x:v>Ana Carla Ferreira Souza</x:v>
      </x:c>
      <x:c r="G248" s="17" t="str">
        <x:v>Cartão de crédito</x:v>
      </x:c>
      <x:c r="H248" s="17" t="str">
        <x:v>2026-04-22 14:39:57</x:v>
      </x:c>
    </x:row>
    <x:row r="249" ht="15" hidden="0" customHeight="1">
      <x:c r="A249" s="17" t="n">
        <x:v>252</x:v>
      </x:c>
      <x:c r="B249" s="17" t="str">
        <x:v>OP-1060</x:v>
      </x:c>
      <x:c r="C249" s="17" t="str">
        <x:v>PAG-1031</x:v>
      </x:c>
      <x:c r="D249" s="21" t="n">
        <x:v>952.96</x:v>
      </x:c>
      <x:c r="E249" s="17" t="str">
        <x:v>Pago</x:v>
      </x:c>
      <x:c r="F249" s="17" t="str">
        <x:v>Bruna Bonilha</x:v>
      </x:c>
      <x:c r="G249" s="17" t="str">
        <x:v>Cartão de crédito</x:v>
      </x:c>
      <x:c r="H249" s="17" t="str">
        <x:v>2026-04-22 14:21:41</x:v>
      </x:c>
    </x:row>
    <x:row r="250" ht="15" hidden="0" customHeight="1">
      <x:c r="A250" s="17" t="n">
        <x:v>253</x:v>
      </x:c>
      <x:c r="B250" s="17" t="str">
        <x:v>OP-1058</x:v>
      </x:c>
      <x:c r="C250" s="17" t="str">
        <x:v>PAG-1030</x:v>
      </x:c>
      <x:c r="D250" s="21" t="n">
        <x:v>1232.12</x:v>
      </x:c>
      <x:c r="E250" s="17" t="str">
        <x:v>Pago</x:v>
      </x:c>
      <x:c r="F250" s="17" t="str">
        <x:v>Gabriela Leite Nogueira</x:v>
      </x:c>
      <x:c r="G250" s="17" t="str">
        <x:v>Cartão de crédito</x:v>
      </x:c>
      <x:c r="H250" s="17" t="str">
        <x:v>2026-04-22 14:03:15</x:v>
      </x:c>
    </x:row>
    <x:row r="251" ht="15" hidden="0" customHeight="1">
      <x:c r="A251" s="17" t="n">
        <x:v>254</x:v>
      </x:c>
      <x:c r="B251" s="17" t="str">
        <x:v>OP-1057</x:v>
      </x:c>
      <x:c r="C251" s="17" t="str">
        <x:v>PAG-1029</x:v>
      </x:c>
      <x:c r="D251" s="21" t="n">
        <x:v>509.98</x:v>
      </x:c>
      <x:c r="E251" s="17" t="str">
        <x:v>Pago</x:v>
      </x:c>
      <x:c r="F251" s="17" t="str">
        <x:v>Erica Sylvestre</x:v>
      </x:c>
      <x:c r="G251" s="17" t="str">
        <x:v>Cartão de crédito</x:v>
      </x:c>
      <x:c r="H251" s="17" t="str">
        <x:v>2026-04-22 13:47:41</x:v>
      </x:c>
    </x:row>
    <x:row r="252" ht="15" hidden="0" customHeight="1">
      <x:c r="A252" s="17" t="n">
        <x:v>255</x:v>
      </x:c>
      <x:c r="B252" s="17" t="str">
        <x:v>OP-1056</x:v>
      </x:c>
      <x:c r="C252" s="17" t="str">
        <x:v>PAG-1028</x:v>
      </x:c>
      <x:c r="D252" s="21" t="n">
        <x:v>909.02</x:v>
      </x:c>
      <x:c r="E252" s="17" t="str">
        <x:v>Pago</x:v>
      </x:c>
      <x:c r="F252" s="17" t="str">
        <x:v>Rodrigo Ventura</x:v>
      </x:c>
      <x:c r="G252" s="17" t="str">
        <x:v>Cartão de crédito</x:v>
      </x:c>
      <x:c r="H252" s="17" t="str">
        <x:v>2026-04-22 13:38:10</x:v>
      </x:c>
    </x:row>
    <x:row r="253" ht="15" hidden="0" customHeight="1">
      <x:c r="A253" s="17" t="n">
        <x:v>256</x:v>
      </x:c>
      <x:c r="B253" s="17" t="str">
        <x:v>OP-1055</x:v>
      </x:c>
      <x:c r="C253" s="17" t="str">
        <x:v>PAG-1025</x:v>
      </x:c>
      <x:c r="D253" s="21" t="n">
        <x:v>1371.74</x:v>
      </x:c>
      <x:c r="E253" s="17" t="str">
        <x:v>Pago</x:v>
      </x:c>
      <x:c r="F253" s="17" t="str">
        <x:v>Regina Lucia Zamith</x:v>
      </x:c>
      <x:c r="G253" s="17" t="str">
        <x:v>Cartão de crédito</x:v>
      </x:c>
      <x:c r="H253" s="17" t="str">
        <x:v>2026-04-22 08:58:51</x:v>
      </x:c>
    </x:row>
    <x:row r="254" ht="15" hidden="0" customHeight="1">
      <x:c r="A254" s="17" t="n">
        <x:v>257</x:v>
      </x:c>
      <x:c r="B254" s="17" t="str">
        <x:v>OP-1047</x:v>
      </x:c>
      <x:c r="C254" s="17" t="str">
        <x:v>PAG-1024</x:v>
      </x:c>
      <x:c r="D254" s="21" t="n">
        <x:v>1214.36</x:v>
      </x:c>
      <x:c r="E254" s="17" t="str">
        <x:v>Pago</x:v>
      </x:c>
      <x:c r="F254" s="17" t="str">
        <x:v>Alberto Cardoso</x:v>
      </x:c>
      <x:c r="G254" s="17" t="str">
        <x:v>Cartão de crédito</x:v>
      </x:c>
      <x:c r="H254" s="17" t="str">
        <x:v>2026-04-17 15:03:37</x:v>
      </x:c>
    </x:row>
    <x:row r="255" ht="15" hidden="0" customHeight="1">
      <x:c r="A255" s="17" t="n">
        <x:v>258</x:v>
      </x:c>
      <x:c r="B255" s="17" t="str">
        <x:v>OP-1051</x:v>
      </x:c>
      <x:c r="C255" s="17" t="str">
        <x:v>PAG-1023</x:v>
      </x:c>
      <x:c r="D255" s="21" t="n">
        <x:v>1207.05</x:v>
      </x:c>
      <x:c r="E255" s="17" t="str">
        <x:v>Pago</x:v>
      </x:c>
      <x:c r="F255" s="17" t="str">
        <x:v>Plínio Eugenio Meireles</x:v>
      </x:c>
      <x:c r="G255" s="17" t="str">
        <x:v>Cartão de crédito</x:v>
      </x:c>
      <x:c r="H255" s="17" t="str">
        <x:v>2026-04-16 11:05:58</x:v>
      </x:c>
    </x:row>
    <x:row r="256" ht="15" hidden="0" customHeight="1">
      <x:c r="A256" s="17" t="n">
        <x:v>259</x:v>
      </x:c>
      <x:c r="B256" s="17" t="str">
        <x:v>OP-1050</x:v>
      </x:c>
      <x:c r="C256" s="17" t="str">
        <x:v>PAG-1022</x:v>
      </x:c>
      <x:c r="D256" s="21" t="n">
        <x:v>911.01</x:v>
      </x:c>
      <x:c r="E256" s="17" t="str">
        <x:v>Pago</x:v>
      </x:c>
      <x:c r="F256" s="17" t="str">
        <x:v>Carolina Huang</x:v>
      </x:c>
      <x:c r="G256" s="17" t="str">
        <x:v>Cartão de crédito</x:v>
      </x:c>
      <x:c r="H256" s="17" t="str">
        <x:v>2026-04-16 10:34:53</x:v>
      </x:c>
    </x:row>
    <x:row r="257" ht="15" hidden="0" customHeight="1">
      <x:c r="A257" s="17" t="n">
        <x:v>260</x:v>
      </x:c>
      <x:c r="B257" s="17" t="str">
        <x:v>OP-1046</x:v>
      </x:c>
      <x:c r="C257" s="17" t="str">
        <x:v>PAG-1016</x:v>
      </x:c>
      <x:c r="D257" s="21" t="n">
        <x:v>952.96</x:v>
      </x:c>
      <x:c r="E257" s="17" t="str">
        <x:v>Pago</x:v>
      </x:c>
      <x:c r="F257" s="17" t="str">
        <x:v>Eliel Gonçalves Zabini</x:v>
      </x:c>
      <x:c r="G257" s="17" t="str">
        <x:v>Cartão de crédito</x:v>
      </x:c>
      <x:c r="H257" s="17" t="str">
        <x:v>2026-04-15 16:27:34</x:v>
      </x:c>
    </x:row>
    <x:row r="258" ht="15" hidden="0" customHeight="1">
      <x:c r="A258" s="17" t="n">
        <x:v>261</x:v>
      </x:c>
      <x:c r="B258" s="17" t="str">
        <x:v>OP-1045</x:v>
      </x:c>
      <x:c r="C258" s="17" t="str">
        <x:v>PAG-1015</x:v>
      </x:c>
      <x:c r="D258" s="21" t="n">
        <x:v>962.65</x:v>
      </x:c>
      <x:c r="E258" s="17" t="str">
        <x:v>Pago</x:v>
      </x:c>
      <x:c r="F258" s="17" t="str">
        <x:v>Flavio Martins Bueno</x:v>
      </x:c>
      <x:c r="G258" s="17" t="str">
        <x:v>Cartão de crédito</x:v>
      </x:c>
      <x:c r="H258" s="17" t="str">
        <x:v>2026-04-15 15:53:02</x:v>
      </x:c>
    </x:row>
    <x:row r="259" ht="15" hidden="0" customHeight="1">
      <x:c r="A259" s="17" t="n">
        <x:v>262</x:v>
      </x:c>
      <x:c r="B259" s="17" t="str">
        <x:v>OP-1040</x:v>
      </x:c>
      <x:c r="C259" s="17" t="str">
        <x:v>PAG-1014</x:v>
      </x:c>
      <x:c r="D259" s="21" t="n">
        <x:v>442.98</x:v>
      </x:c>
      <x:c r="E259" s="17" t="str">
        <x:v>Pago</x:v>
      </x:c>
      <x:c r="F259" s="17" t="str">
        <x:v>Viviane Maria Dias</x:v>
      </x:c>
      <x:c r="G259" s="17" t="str">
        <x:v>Cartão de crédito</x:v>
      </x:c>
      <x:c r="H259" s="17" t="str">
        <x:v>2026-04-15 14:26:30</x:v>
      </x:c>
    </x:row>
    <x:row r="260" ht="15" hidden="0" customHeight="1">
      <x:c r="A260" s="17" t="n">
        <x:v>263</x:v>
      </x:c>
      <x:c r="B260" s="17" t="str">
        <x:v>OP-1039</x:v>
      </x:c>
      <x:c r="C260" s="17" t="str">
        <x:v>PAG-1013</x:v>
      </x:c>
      <x:c r="D260" s="21" t="n">
        <x:v>442.98</x:v>
      </x:c>
      <x:c r="E260" s="17" t="str">
        <x:v>Pago</x:v>
      </x:c>
      <x:c r="F260" s="17" t="str">
        <x:v>Carolina Huang</x:v>
      </x:c>
      <x:c r="G260" s="17" t="str">
        <x:v>Cartão de crédito</x:v>
      </x:c>
      <x:c r="H260" s="17" t="str">
        <x:v>2026-04-14 16:48:58</x:v>
      </x:c>
    </x:row>
    <x:row r="261" ht="15" hidden="0" customHeight="1">
      <x:c r="A261" s="17" t="n">
        <x:v>264</x:v>
      </x:c>
      <x:c r="B261" s="17" t="str">
        <x:v>OP-1037</x:v>
      </x:c>
      <x:c r="C261" s="17" t="str">
        <x:v>PAG-1012</x:v>
      </x:c>
      <x:c r="D261" s="21" t="n">
        <x:v>1528.07</x:v>
      </x:c>
      <x:c r="E261" s="17" t="str">
        <x:v>Pago</x:v>
      </x:c>
      <x:c r="F261" s="17" t="str">
        <x:v>Fernanda Barbosa</x:v>
      </x:c>
      <x:c r="G261" s="17" t="str">
        <x:v>Cartão de crédito</x:v>
      </x:c>
      <x:c r="H261" s="17" t="str">
        <x:v>2026-04-14 09:45:54</x:v>
      </x:c>
    </x:row>
    <x:row r="262" ht="15" hidden="0" customHeight="1">
      <x:c r="A262" s="17" t="n">
        <x:v>265</x:v>
      </x:c>
      <x:c r="B262" s="17" t="str">
        <x:v>OP-1033</x:v>
      </x:c>
      <x:c r="C262" s="17" t="str">
        <x:v>PAG-1011</x:v>
      </x:c>
      <x:c r="D262" s="21" t="n">
        <x:v>1273.98</x:v>
      </x:c>
      <x:c r="E262" s="17" t="str">
        <x:v>Pago</x:v>
      </x:c>
      <x:c r="F262" s="17" t="str">
        <x:v>Bruno Bertoni de Paula</x:v>
      </x:c>
      <x:c r="G262" s="17" t="str">
        <x:v>Cartão de crédito</x:v>
      </x:c>
      <x:c r="H262" s="17" t="str">
        <x:v>2026-04-13 13:58:53</x:v>
      </x:c>
    </x:row>
    <x:row r="263" ht="15" hidden="0" customHeight="1">
      <x:c r="A263" s="17" t="n">
        <x:v>266</x:v>
      </x:c>
      <x:c r="B263" s="17" t="str">
        <x:v>OP-1032</x:v>
      </x:c>
      <x:c r="C263" s="17" t="str">
        <x:v>PAG-1010</x:v>
      </x:c>
      <x:c r="D263" s="21" t="n">
        <x:v>620.49</x:v>
      </x:c>
      <x:c r="E263" s="17" t="str">
        <x:v>Pago</x:v>
      </x:c>
      <x:c r="F263" s="17" t="str">
        <x:v>Marcela Scardua</x:v>
      </x:c>
      <x:c r="G263" s="17" t="str">
        <x:v>Cartão de crédito</x:v>
      </x:c>
      <x:c r="H263" s="17" t="str">
        <x:v>2026-04-13 13:55:55</x:v>
      </x:c>
    </x:row>
    <x:row r="264" ht="15" hidden="0" customHeight="1">
      <x:c r="A264" s="17" t="n">
        <x:v>267</x:v>
      </x:c>
      <x:c r="B264" s="17" t="str">
        <x:v>OP-1031</x:v>
      </x:c>
      <x:c r="C264" s="17" t="str">
        <x:v>PAG-1009</x:v>
      </x:c>
      <x:c r="D264" s="21" t="n">
        <x:v>952.96</x:v>
      </x:c>
      <x:c r="E264" s="17" t="str">
        <x:v>Pago</x:v>
      </x:c>
      <x:c r="F264" s="17" t="str">
        <x:v>Simone Moraes</x:v>
      </x:c>
      <x:c r="G264" s="17" t="str">
        <x:v>Cartão de crédito</x:v>
      </x:c>
      <x:c r="H264" s="17" t="str">
        <x:v>2026-04-13 08:45:23</x:v>
      </x:c>
    </x:row>
    <x:row r="265" ht="15" hidden="0" customHeight="1">
      <x:c r="A265" s="17" t="n">
        <x:v>268</x:v>
      </x:c>
      <x:c r="B265" s="17" t="str">
        <x:v>OP-1028</x:v>
      </x:c>
      <x:c r="C265" s="17" t="str">
        <x:v>PAG-1008</x:v>
      </x:c>
      <x:c r="D265" s="21" t="n">
        <x:v>859.1</x:v>
      </x:c>
      <x:c r="E265" s="17" t="str">
        <x:v>Pago</x:v>
      </x:c>
      <x:c r="F265" s="17" t="str">
        <x:v>Fabio Truffa</x:v>
      </x:c>
      <x:c r="G265" s="17" t="str">
        <x:v>Cartão de crédito</x:v>
      </x:c>
      <x:c r="H265" s="17" t="str">
        <x:v>2026-04-10 10:35:49</x:v>
      </x:c>
    </x:row>
    <x:row r="266" ht="15" hidden="0" customHeight="1">
      <x:c r="A266" s="17" t="n">
        <x:v>269</x:v>
      </x:c>
      <x:c r="B266" s="17" t="str">
        <x:v>OP-1024</x:v>
      </x:c>
      <x:c r="C266" s="17" t="str">
        <x:v>PAG-1007</x:v>
      </x:c>
      <x:c r="D266" s="21" t="n">
        <x:v>1430.31</x:v>
      </x:c>
      <x:c r="E266" s="17" t="str">
        <x:v>Pago</x:v>
      </x:c>
      <x:c r="F266" s="17" t="str">
        <x:v>Roneide Oliveira</x:v>
      </x:c>
      <x:c r="G266" s="17" t="str">
        <x:v>Cartão de crédito</x:v>
      </x:c>
      <x:c r="H266" s="17" t="str">
        <x:v>2026-04-10 09:08:25</x:v>
      </x:c>
    </x:row>
    <x:row r="267" ht="15" hidden="0" customHeight="1">
      <x:c r="A267" s="17" t="n">
        <x:v>270</x:v>
      </x:c>
      <x:c r="B267" s="17" t="str">
        <x:v>OP-1023</x:v>
      </x:c>
      <x:c r="C267" s="17" t="str">
        <x:v>PAG-1006</x:v>
      </x:c>
      <x:c r="D267" s="21" t="n">
        <x:v>2023.06</x:v>
      </x:c>
      <x:c r="E267" s="17" t="str">
        <x:v>Pago</x:v>
      </x:c>
      <x:c r="F267" s="17" t="str">
        <x:v>Eduardo Batista Nascimento</x:v>
      </x:c>
      <x:c r="G267" s="17" t="str">
        <x:v>Cartão de crédito</x:v>
      </x:c>
      <x:c r="H267" s="17" t="str">
        <x:v>2026-04-09 15:48:17</x:v>
      </x:c>
    </x:row>
    <x:row r="268" ht="15" hidden="0" customHeight="1">
      <x:c r="A268" s="17" t="n">
        <x:v>271</x:v>
      </x:c>
      <x:c r="B268" s="17" t="str">
        <x:v>OP-1018</x:v>
      </x:c>
      <x:c r="C268" s="17" t="str">
        <x:v>PAG-1005</x:v>
      </x:c>
      <x:c r="D268" s="21" t="n">
        <x:v>1005.01</x:v>
      </x:c>
      <x:c r="E268" s="17" t="str">
        <x:v>Pago</x:v>
      </x:c>
      <x:c r="F268" s="17" t="str">
        <x:v>William G. Silva</x:v>
      </x:c>
      <x:c r="G268" s="17" t="str">
        <x:v>Cartão de crédito</x:v>
      </x:c>
      <x:c r="H268" s="17" t="str">
        <x:v>2026-04-09 08:17:48</x:v>
      </x:c>
    </x:row>
  </x:sheetData>
  <x:pageMargins left="0.7" right="0.7" top="0.75" bottom="0.75" header="0.3" footer="0.3"/>
  <x:tableParts count="1">
    <x:tablePart xmlns:r="http://schemas.openxmlformats.org/officeDocument/2006/relationships" r:id="Rd03dfdd5b40540f3"/>
  </x:tableParts>
</x:worksheet>
</file>